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df0211d11ba460/Treinamentos/DIO/Excel/"/>
    </mc:Choice>
  </mc:AlternateContent>
  <xr:revisionPtr revIDLastSave="690" documentId="8_{381FF3BC-1B73-49C4-BA51-BA046EE26895}" xr6:coauthVersionLast="47" xr6:coauthVersionMax="47" xr10:uidLastSave="{C4E51E82-017C-4AFB-92CC-03E74563450E}"/>
  <bookViews>
    <workbookView xWindow="-108" yWindow="-108" windowWidth="23256" windowHeight="12456" tabRatio="0" firstSheet="2" activeTab="2" xr2:uid="{C1684319-EF74-4209-B490-D4215E828D0D}"/>
  </bookViews>
  <sheets>
    <sheet name="TITULAR" sheetId="1" r:id="rId1"/>
    <sheet name="INFORMES" sheetId="7" r:id="rId2"/>
    <sheet name="RENDIMENTOS MENSAIS" sheetId="10" r:id="rId3"/>
    <sheet name="BANCO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2" i="9"/>
</calcChain>
</file>

<file path=xl/sharedStrings.xml><?xml version="1.0" encoding="utf-8"?>
<sst xmlns="http://schemas.openxmlformats.org/spreadsheetml/2006/main" count="156" uniqueCount="145">
  <si>
    <t>CPF:</t>
  </si>
  <si>
    <t>Nome:</t>
  </si>
  <si>
    <t>Data de nascimento:</t>
  </si>
  <si>
    <t>Título de Eleitor:</t>
  </si>
  <si>
    <t>Endereço:</t>
  </si>
  <si>
    <t>CEP:</t>
  </si>
  <si>
    <t>Telefone:</t>
  </si>
  <si>
    <t>Celular:</t>
  </si>
  <si>
    <t>e-mail:</t>
  </si>
  <si>
    <t>Possui cônjuge ou companheiro(a)?</t>
  </si>
  <si>
    <t>Houve alteração de dados cadastrais?</t>
  </si>
  <si>
    <t>Possui dependentes do IRRF?</t>
  </si>
  <si>
    <t>1.Dados do Titular</t>
  </si>
  <si>
    <t>Preencha os dados da pessoa física abaixo</t>
  </si>
  <si>
    <r>
      <t>Nome do cônjugue (</t>
    </r>
    <r>
      <rPr>
        <i/>
        <sz val="12"/>
        <color theme="1"/>
        <rFont val="Aptos Narrow"/>
        <family val="2"/>
        <scheme val="minor"/>
      </rPr>
      <t>caso haja</t>
    </r>
    <r>
      <rPr>
        <sz val="12"/>
        <color theme="1"/>
        <rFont val="Aptos Narrow"/>
        <family val="2"/>
        <scheme val="minor"/>
      </rPr>
      <t>):</t>
    </r>
  </si>
  <si>
    <t>teste@teste.com.br</t>
  </si>
  <si>
    <t>Não</t>
  </si>
  <si>
    <t>Não se aplica</t>
  </si>
  <si>
    <t>Maria Eduarda</t>
  </si>
  <si>
    <t>Preencha com os dados atuais de cada banco</t>
  </si>
  <si>
    <t>Banco:</t>
  </si>
  <si>
    <t>Valor atual:</t>
  </si>
  <si>
    <t>Anexo:</t>
  </si>
  <si>
    <t>001-Banco do Brasil S.A.</t>
  </si>
  <si>
    <t>003-Banco da Amazônia S.A.</t>
  </si>
  <si>
    <t>004-Banco do Nordeste do Brasil S.A.</t>
  </si>
  <si>
    <t>007-BNDES (Banco Nac. de Des. Econômico e Social)</t>
  </si>
  <si>
    <t>010-Credicoamo Crédito Rural Cooperativa</t>
  </si>
  <si>
    <t>011-Credit Suisse (Brasil) S.A. Corretora de Títulos e Valores Mobiliários</t>
  </si>
  <si>
    <t>012-Banco Inbursa S.A.</t>
  </si>
  <si>
    <t>016-Ccm Despachantes de Trânsito de Santa Catarina e Rio Grande do Sul</t>
  </si>
  <si>
    <t>017-BNY Mellon Banco S.A.</t>
  </si>
  <si>
    <t>021-BANESTES S.A. (Banco do Estado do Espírito Santo)</t>
  </si>
  <si>
    <t>024-Banco Bandepe S.A.</t>
  </si>
  <si>
    <t>025-Banco Alfa S.A.</t>
  </si>
  <si>
    <t>029-Banco Itaú Consignado S.A.</t>
  </si>
  <si>
    <t>033-Banco Santander (Brasil) S.A.</t>
  </si>
  <si>
    <t>036-Banco Bradesco BBI S.A.</t>
  </si>
  <si>
    <t>037-BANPARÁ (Banco do Estado do Pará S.A.)</t>
  </si>
  <si>
    <t>040-Banco Cargill S.A.</t>
  </si>
  <si>
    <t>041-Banco do Estado do Rio Grande do Sul S.A. (Banrisul)</t>
  </si>
  <si>
    <t>047-BANESE (Banco do Estado de Sergipe S.A.)</t>
  </si>
  <si>
    <t>062-Hipercard Banco Múltiplo S.A.</t>
  </si>
  <si>
    <t>063-Banco Bradescard S.A.</t>
  </si>
  <si>
    <t>064-Goldman Sachs do Brasil Banco Múltiplo S.A.</t>
  </si>
  <si>
    <t>065-Banco Andbank (Brasil) S.A.</t>
  </si>
  <si>
    <t>066-Banco Morgan Stanley S.A.</t>
  </si>
  <si>
    <t>069-Banco Crefisa S.A.</t>
  </si>
  <si>
    <t>070-BRB - Banco de Brasília S.A.</t>
  </si>
  <si>
    <t>074-Banco J. Safra S.A.</t>
  </si>
  <si>
    <t>075-Banco ABN AMRO S.A.</t>
  </si>
  <si>
    <t>076-Banco KDB do Brasil S.A.</t>
  </si>
  <si>
    <t>077-Banco Inter S.A.</t>
  </si>
  <si>
    <t>078-Haitong Banco de Investimento do Brasil S.A.</t>
  </si>
  <si>
    <t>079-Banco Original do Agronegócio S.A.</t>
  </si>
  <si>
    <t>081-Banco Seguro S.A.</t>
  </si>
  <si>
    <t>082-Banco Topázio S.A.</t>
  </si>
  <si>
    <t>083-Banco da China Brasil S.A.</t>
  </si>
  <si>
    <t>084-Uniprime Norte do Paraná - Coop de Crédito Ldta</t>
  </si>
  <si>
    <t>085-Ailos (Cooperativa Central de Crédito Urbano)</t>
  </si>
  <si>
    <t>089-CCR de Região da Mogiana (Credisan)</t>
  </si>
  <si>
    <t>091-Unicred Central RS</t>
  </si>
  <si>
    <t>092-Brickell S.A. Crédito, Financiamento e Investimento</t>
  </si>
  <si>
    <t>094-Banco Finaxis S.A.</t>
  </si>
  <si>
    <t>095-Travelex Banco de Câmbio S.A.</t>
  </si>
  <si>
    <t>096-Banco B3 S.A.</t>
  </si>
  <si>
    <t>097-Credisis - Central de Cooperativas de Crédito Ltda.</t>
  </si>
  <si>
    <t>098-Credialiança Cooperativa de Crédito Rural</t>
  </si>
  <si>
    <t>099-UNIPRIME Central – Central Est. de Coop. de Crédito</t>
  </si>
  <si>
    <t>102-XP Investimentos Corretora de Câmbio, Títulos e Valores Mobiliários S.A.</t>
  </si>
  <si>
    <t>104-Caixa Econômica Federal</t>
  </si>
  <si>
    <t>107-Banco Bocom BBM S.A.</t>
  </si>
  <si>
    <t>117-Advanced Corretora de Câmbio Ltda.</t>
  </si>
  <si>
    <t>121-Banco Agibank S.A.</t>
  </si>
  <si>
    <t>125-Brasil Plural S.A. Banco Múltiplo</t>
  </si>
  <si>
    <t>128-MS Bank S.A. Banco de Câmbio</t>
  </si>
  <si>
    <t>136-Unicred do Brasil</t>
  </si>
  <si>
    <t>144-BEXS Banco de Câmbio S/A</t>
  </si>
  <si>
    <t>184-Banco Itaú BBA S.A.</t>
  </si>
  <si>
    <t>197-Stone Instituição de Pagamento S.A.</t>
  </si>
  <si>
    <t>204-Banco Bradesco Cartões S.A.</t>
  </si>
  <si>
    <t>208-Banco BTG Pactual S.A.</t>
  </si>
  <si>
    <t>212-Banco Original S.A.</t>
  </si>
  <si>
    <t>213-Banco Arbi S.A.</t>
  </si>
  <si>
    <t>217-Banco John Deere S.A.</t>
  </si>
  <si>
    <t>218-Banco BS2 S.A.</t>
  </si>
  <si>
    <t>222-Banco Crédit Agricole Brasil S.A.</t>
  </si>
  <si>
    <t>224-Banco Fibra S.A.</t>
  </si>
  <si>
    <t>233-Banco Cifra S.A.</t>
  </si>
  <si>
    <t>237-Banco Bradesco S.A.</t>
  </si>
  <si>
    <t>243-Banco Master S.A.</t>
  </si>
  <si>
    <t>246-Banco ABC Brasil S.A.</t>
  </si>
  <si>
    <t>249-Banco Investcred Unibanco S.A.</t>
  </si>
  <si>
    <t>250-BCV - Banco de Crédito e Varejo S.A.</t>
  </si>
  <si>
    <t>254-Paraná Banco S.A.</t>
  </si>
  <si>
    <t>260-Nu Pagamentos S.A. (Nubank)</t>
  </si>
  <si>
    <t>273-CCR de São Roque (Cooperativa de Crédito Rural de São Roque)</t>
  </si>
  <si>
    <t>290-PagSeguro Internet S.A. (PagBank)</t>
  </si>
  <si>
    <t>301-BPP Instituição de Pagamento S.A.</t>
  </si>
  <si>
    <t>318-Banco BMG S.A.</t>
  </si>
  <si>
    <t>320-China Construction Bank (Brasil) Banco Múltiplo S.A.</t>
  </si>
  <si>
    <t>335-Banco Digio S.A.</t>
  </si>
  <si>
    <t>336-Banco C6 S.A. (C6 Bank)</t>
  </si>
  <si>
    <t>341-Itaú Unibanco S.A.</t>
  </si>
  <si>
    <t>389-Banco Mercantil do Brasil S.A.</t>
  </si>
  <si>
    <t>403-Cora Sociedade de Crédito Direto S.A.</t>
  </si>
  <si>
    <t>422-Banco Safra S.A.</t>
  </si>
  <si>
    <t>456-Banco MUFG Brasil S.A.</t>
  </si>
  <si>
    <t>473-Banco Caixa Geral - Brasil S.A.</t>
  </si>
  <si>
    <t>505-Banco Credit Suisse (Brasil) S.A.</t>
  </si>
  <si>
    <t>604-Banco Industrial do Brasil S.A.</t>
  </si>
  <si>
    <t>611-Banco Paulista S.A.</t>
  </si>
  <si>
    <t>623-Banco Pan S.A.</t>
  </si>
  <si>
    <t>633-Banco Rendimento S.A.</t>
  </si>
  <si>
    <t>637-Banco Sofisa S.A.</t>
  </si>
  <si>
    <t>652-Itaú Unibanco Holding S.A.</t>
  </si>
  <si>
    <t>653-Banco Voiter S.A.</t>
  </si>
  <si>
    <t>655-Banco Votorantim S.A. (Banco BV)</t>
  </si>
  <si>
    <t>707-Banco Daycoval S.A.</t>
  </si>
  <si>
    <t>735-Banco Neon S.A.</t>
  </si>
  <si>
    <t>739-Banco Cetelem S.A.</t>
  </si>
  <si>
    <t>741-Banco Ribeirão Preto S.A.</t>
  </si>
  <si>
    <t>745-Banco Citibank S.A.</t>
  </si>
  <si>
    <t>746-Banco Modal S.A.</t>
  </si>
  <si>
    <t>748-Banco Cooperativo Sicredi S.A.</t>
  </si>
  <si>
    <t>756-Banco Cooperativo do Brasil S.A. (Sicoob)</t>
  </si>
  <si>
    <t>Bancos</t>
  </si>
  <si>
    <t>Bancos (nomes truncados)</t>
  </si>
  <si>
    <t>brasil_2025.PDF</t>
  </si>
  <si>
    <t>1º Banco</t>
  </si>
  <si>
    <t>2º Banco</t>
  </si>
  <si>
    <t>santander_2025.PDF</t>
  </si>
  <si>
    <t>3º Banco</t>
  </si>
  <si>
    <t>bradesco_2025.PDF</t>
  </si>
  <si>
    <t>Total dos rendimentos bancários:</t>
  </si>
  <si>
    <t>Considera todos os valores de receita informados mês a mês.</t>
  </si>
  <si>
    <t>Data</t>
  </si>
  <si>
    <t>Categoria</t>
  </si>
  <si>
    <t>Valor</t>
  </si>
  <si>
    <t>Entradas</t>
  </si>
  <si>
    <t>Empregado</t>
  </si>
  <si>
    <t>3.Rendimentos mensais</t>
  </si>
  <si>
    <t/>
  </si>
  <si>
    <t>2.Informes de Rendimentos Bancários</t>
  </si>
  <si>
    <t xml:space="preserve">Rua Y, Vila Mariana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</si>
</sst>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/yyyy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5"/>
      <color rgb="FF004693"/>
      <name val="Aptos Narrow"/>
      <family val="2"/>
      <scheme val="minor"/>
    </font>
    <font>
      <i/>
      <sz val="12"/>
      <color rgb="FF0046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014694"/>
        <bgColor indexed="64"/>
      </patternFill>
    </fill>
    <fill>
      <patternFill patternType="solid">
        <fgColor rgb="FF0758B1"/>
        <bgColor indexed="64"/>
      </patternFill>
    </fill>
    <fill>
      <patternFill patternType="solid">
        <fgColor rgb="FF095CB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 style="thin">
        <color rgb="FF004693"/>
      </right>
      <top style="thin">
        <color rgb="FF004693"/>
      </top>
      <bottom style="thin">
        <color rgb="FF004693"/>
      </bottom>
      <diagonal/>
    </border>
    <border>
      <left style="thin">
        <color rgb="FF004693"/>
      </left>
      <right/>
      <top style="thin">
        <color rgb="FF004693"/>
      </top>
      <bottom style="thin">
        <color rgb="FF004693"/>
      </bottom>
      <diagonal/>
    </border>
    <border>
      <left/>
      <right style="thin">
        <color rgb="FF004693"/>
      </right>
      <top style="thick">
        <color rgb="FF004693"/>
      </top>
      <bottom style="thin">
        <color rgb="FF004693"/>
      </bottom>
      <diagonal/>
    </border>
    <border>
      <left style="thin">
        <color rgb="FF004693"/>
      </left>
      <right/>
      <top style="thick">
        <color rgb="FF004693"/>
      </top>
      <bottom style="thin">
        <color rgb="FF004693"/>
      </bottom>
      <diagonal/>
    </border>
    <border>
      <left/>
      <right style="thin">
        <color rgb="FF004693"/>
      </right>
      <top style="thin">
        <color rgb="FF004693"/>
      </top>
      <bottom style="thick">
        <color rgb="FF004693"/>
      </bottom>
      <diagonal/>
    </border>
    <border>
      <left style="thin">
        <color rgb="FF004693"/>
      </left>
      <right/>
      <top style="thin">
        <color rgb="FF004693"/>
      </top>
      <bottom style="thick">
        <color rgb="FF004693"/>
      </bottom>
      <diagonal/>
    </border>
    <border>
      <left/>
      <right/>
      <top style="thick">
        <color rgb="FF004693"/>
      </top>
      <bottom style="thick">
        <color rgb="FF004693"/>
      </bottom>
      <diagonal/>
    </border>
    <border>
      <left/>
      <right/>
      <top/>
      <bottom style="thin">
        <color rgb="FF004693"/>
      </bottom>
      <diagonal/>
    </border>
    <border>
      <left/>
      <right style="thin">
        <color rgb="FF004693"/>
      </right>
      <top style="thin">
        <color rgb="FF004693"/>
      </top>
      <bottom/>
      <diagonal/>
    </border>
    <border>
      <left/>
      <right/>
      <top style="thin">
        <color rgb="FF004693"/>
      </top>
      <bottom/>
      <diagonal/>
    </border>
    <border>
      <left style="thin">
        <color rgb="FF004693"/>
      </left>
      <right/>
      <top style="thin">
        <color rgb="FF004693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1" xfId="1" applyFont="1"/>
    <xf numFmtId="0" fontId="2" fillId="0" borderId="5" xfId="0" applyFont="1" applyBorder="1" applyAlignment="1">
      <alignment horizontal="right" vertical="center" indent="1"/>
    </xf>
    <xf numFmtId="0" fontId="2" fillId="0" borderId="3" xfId="0" applyFont="1" applyBorder="1" applyAlignment="1">
      <alignment horizontal="right" vertical="center" indent="1"/>
    </xf>
    <xf numFmtId="0" fontId="2" fillId="0" borderId="7" xfId="0" applyFont="1" applyBorder="1" applyAlignment="1">
      <alignment horizontal="right" vertical="center" indent="1"/>
    </xf>
    <xf numFmtId="0" fontId="0" fillId="0" borderId="0" xfId="0" quotePrefix="1"/>
    <xf numFmtId="0" fontId="8" fillId="4" borderId="0" xfId="0" applyFont="1" applyFill="1"/>
    <xf numFmtId="0" fontId="8" fillId="2" borderId="0" xfId="0" applyFont="1" applyFill="1"/>
    <xf numFmtId="0" fontId="9" fillId="0" borderId="0" xfId="0" applyFont="1"/>
    <xf numFmtId="0" fontId="10" fillId="0" borderId="0" xfId="0" applyFont="1" applyAlignment="1">
      <alignment horizontal="right"/>
    </xf>
    <xf numFmtId="168" fontId="10" fillId="3" borderId="9" xfId="0" applyNumberFormat="1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center" vertical="center"/>
    </xf>
    <xf numFmtId="168" fontId="8" fillId="6" borderId="4" xfId="0" applyNumberFormat="1" applyFont="1" applyFill="1" applyBorder="1" applyAlignment="1">
      <alignment horizontal="center" vertical="center"/>
    </xf>
    <xf numFmtId="0" fontId="4" fillId="0" borderId="1" xfId="1" applyFont="1" applyAlignment="1">
      <alignment horizontal="center"/>
    </xf>
    <xf numFmtId="0" fontId="2" fillId="0" borderId="0" xfId="0" applyFont="1" applyAlignment="1">
      <alignment horizontal="center"/>
    </xf>
    <xf numFmtId="168" fontId="8" fillId="6" borderId="4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left" vertical="center" indent="1"/>
      <protection locked="0"/>
    </xf>
    <xf numFmtId="164" fontId="2" fillId="3" borderId="4" xfId="0" applyNumberFormat="1" applyFont="1" applyFill="1" applyBorder="1" applyAlignment="1" applyProtection="1">
      <alignment horizontal="left" vertical="center" indent="1"/>
      <protection locked="0"/>
    </xf>
    <xf numFmtId="14" fontId="2" fillId="3" borderId="4" xfId="0" applyNumberFormat="1" applyFont="1" applyFill="1" applyBorder="1" applyAlignment="1" applyProtection="1">
      <alignment horizontal="left" vertical="center" indent="1"/>
      <protection locked="0"/>
    </xf>
    <xf numFmtId="1" fontId="2" fillId="3" borderId="4" xfId="0" applyNumberFormat="1" applyFont="1" applyFill="1" applyBorder="1" applyAlignment="1" applyProtection="1">
      <alignment horizontal="left" vertical="center" indent="1"/>
      <protection locked="0"/>
    </xf>
    <xf numFmtId="0" fontId="2" fillId="3" borderId="4" xfId="0" applyFont="1" applyFill="1" applyBorder="1" applyAlignment="1" applyProtection="1">
      <alignment horizontal="left" vertical="center" indent="1"/>
      <protection locked="0"/>
    </xf>
    <xf numFmtId="165" fontId="2" fillId="3" borderId="4" xfId="0" applyNumberFormat="1" applyFont="1" applyFill="1" applyBorder="1" applyAlignment="1" applyProtection="1">
      <alignment horizontal="left" vertical="center" indent="1"/>
      <protection locked="0"/>
    </xf>
    <xf numFmtId="166" fontId="2" fillId="3" borderId="4" xfId="0" applyNumberFormat="1" applyFont="1" applyFill="1" applyBorder="1" applyAlignment="1" applyProtection="1">
      <alignment horizontal="left" vertical="center" indent="1"/>
      <protection locked="0"/>
    </xf>
    <xf numFmtId="167" fontId="2" fillId="3" borderId="4" xfId="0" applyNumberFormat="1" applyFont="1" applyFill="1" applyBorder="1" applyAlignment="1" applyProtection="1">
      <alignment horizontal="left" vertical="center" indent="1"/>
      <protection locked="0"/>
    </xf>
    <xf numFmtId="0" fontId="7" fillId="3" borderId="8" xfId="2" applyFont="1" applyFill="1" applyBorder="1" applyAlignment="1" applyProtection="1">
      <alignment horizontal="left" vertical="center" indent="1"/>
      <protection locked="0"/>
    </xf>
    <xf numFmtId="168" fontId="2" fillId="3" borderId="4" xfId="0" applyNumberFormat="1" applyFont="1" applyFill="1" applyBorder="1" applyAlignment="1" applyProtection="1">
      <alignment horizontal="left" vertical="center" indent="1"/>
      <protection locked="0"/>
    </xf>
    <xf numFmtId="14" fontId="2" fillId="3" borderId="8" xfId="0" applyNumberFormat="1" applyFont="1" applyFill="1" applyBorder="1" applyAlignment="1" applyProtection="1">
      <alignment horizontal="left" vertical="center" indent="1"/>
      <protection locked="0"/>
    </xf>
    <xf numFmtId="169" fontId="2" fillId="2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168" fontId="2" fillId="2" borderId="0" xfId="0" applyNumberFormat="1" applyFont="1" applyFill="1" applyAlignment="1" applyProtection="1">
      <alignment horizontal="center" vertical="center"/>
      <protection locked="0"/>
    </xf>
    <xf numFmtId="169" fontId="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/>
      <protection locked="0"/>
    </xf>
    <xf numFmtId="168" fontId="2" fillId="2" borderId="13" xfId="0" applyNumberFormat="1" applyFont="1" applyFill="1" applyBorder="1" applyAlignment="1" applyProtection="1">
      <alignment horizontal="center" vertic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8">
    <dxf>
      <fill>
        <patternFill>
          <fgColor indexed="64"/>
          <bgColor theme="0"/>
        </patternFill>
      </fill>
      <protection locked="0" hidden="0"/>
    </dxf>
    <dxf>
      <numFmt numFmtId="168" formatCode="&quot;R$&quot;\ 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9" formatCode="mm/yyyy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top style="thin">
          <color rgb="FF004693"/>
        </top>
      </border>
    </dxf>
    <dxf>
      <border outline="0">
        <top style="thin">
          <color rgb="FF004693"/>
        </top>
        <bottom style="thick">
          <color rgb="FF004693"/>
        </bottom>
      </border>
    </dxf>
    <dxf>
      <border outline="0">
        <bottom style="thin">
          <color rgb="FF004693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95CB8"/>
        </patternFill>
      </fill>
    </dxf>
  </dxfs>
  <tableStyles count="0" defaultTableStyle="TableStyleMedium2" defaultPivotStyle="PivotStyleLight16"/>
  <colors>
    <mruColors>
      <color rgb="FF18E9BC"/>
      <color rgb="FF095CB8"/>
      <color rgb="FFEFEFFF"/>
      <color rgb="FF0758B1"/>
      <color rgb="FF014694"/>
      <color rgb="FF004693"/>
      <color rgb="FF94ADFF"/>
      <color rgb="FF085AB3"/>
      <color rgb="FFF5DF3E"/>
      <color rgb="FF0552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RENDIMENTOS MENSAIS'!C3"/><Relationship Id="rId7" Type="http://schemas.openxmlformats.org/officeDocument/2006/relationships/image" Target="../media/image3.svg"/><Relationship Id="rId2" Type="http://schemas.openxmlformats.org/officeDocument/2006/relationships/hyperlink" Target="#INFORMES!C3"/><Relationship Id="rId1" Type="http://schemas.openxmlformats.org/officeDocument/2006/relationships/hyperlink" Target="#TITULAR!C3"/><Relationship Id="rId6" Type="http://schemas.openxmlformats.org/officeDocument/2006/relationships/image" Target="../media/image2.png"/><Relationship Id="rId5" Type="http://schemas.openxmlformats.org/officeDocument/2006/relationships/hyperlink" Target="#INFORMES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hyperlink" Target="#'RENDIMENTOS MENSAIS'!C3"/><Relationship Id="rId7" Type="http://schemas.openxmlformats.org/officeDocument/2006/relationships/image" Target="../media/image4.png"/><Relationship Id="rId2" Type="http://schemas.openxmlformats.org/officeDocument/2006/relationships/hyperlink" Target="#INFORMES!C3"/><Relationship Id="rId1" Type="http://schemas.openxmlformats.org/officeDocument/2006/relationships/hyperlink" Target="#TITULAR!C3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RENDIMENTOS MENSAIS'!C3"/><Relationship Id="rId2" Type="http://schemas.openxmlformats.org/officeDocument/2006/relationships/hyperlink" Target="#INFORMES!C3"/><Relationship Id="rId1" Type="http://schemas.openxmlformats.org/officeDocument/2006/relationships/hyperlink" Target="#TITULAR!C3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1666</xdr:colOff>
      <xdr:row>0</xdr:row>
      <xdr:rowOff>0</xdr:rowOff>
    </xdr:from>
    <xdr:to>
      <xdr:col>0</xdr:col>
      <xdr:colOff>2120026</xdr:colOff>
      <xdr:row>50</xdr:row>
      <xdr:rowOff>15240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81602AD-954F-1FF2-DEFF-0EA7310F1586}"/>
            </a:ext>
          </a:extLst>
        </xdr:cNvPr>
        <xdr:cNvSpPr/>
      </xdr:nvSpPr>
      <xdr:spPr>
        <a:xfrm>
          <a:off x="1666" y="0"/>
          <a:ext cx="2118360" cy="10104120"/>
        </a:xfrm>
        <a:prstGeom prst="rect">
          <a:avLst/>
        </a:prstGeom>
        <a:gradFill flip="none" rotWithShape="1">
          <a:gsLst>
            <a:gs pos="20000">
              <a:srgbClr val="004693"/>
            </a:gs>
            <a:gs pos="56000">
              <a:srgbClr val="0758B1"/>
            </a:gs>
            <a:gs pos="39000">
              <a:srgbClr val="0552A7"/>
            </a:gs>
            <a:gs pos="81000">
              <a:srgbClr val="095CB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281940</xdr:colOff>
      <xdr:row>11</xdr:row>
      <xdr:rowOff>26504</xdr:rowOff>
    </xdr:from>
    <xdr:to>
      <xdr:col>0</xdr:col>
      <xdr:colOff>1851660</xdr:colOff>
      <xdr:row>13</xdr:row>
      <xdr:rowOff>33131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8FBCE-E98A-8566-4DD1-3CDDE5D9E824}"/>
            </a:ext>
          </a:extLst>
        </xdr:cNvPr>
        <xdr:cNvSpPr/>
      </xdr:nvSpPr>
      <xdr:spPr>
        <a:xfrm>
          <a:off x="281940" y="2346960"/>
          <a:ext cx="1569720" cy="396240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19050">
          <a:solidFill>
            <a:srgbClr val="18E9B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 editAs="absolute">
    <xdr:from>
      <xdr:col>0</xdr:col>
      <xdr:colOff>281940</xdr:colOff>
      <xdr:row>14</xdr:row>
      <xdr:rowOff>46383</xdr:rowOff>
    </xdr:from>
    <xdr:to>
      <xdr:col>0</xdr:col>
      <xdr:colOff>1851660</xdr:colOff>
      <xdr:row>16</xdr:row>
      <xdr:rowOff>53009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CB81DB-46D7-2465-60C8-EAACEF4DB88A}"/>
            </a:ext>
          </a:extLst>
        </xdr:cNvPr>
        <xdr:cNvSpPr/>
      </xdr:nvSpPr>
      <xdr:spPr>
        <a:xfrm>
          <a:off x="281940" y="2952585"/>
          <a:ext cx="1569720" cy="398890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281940</xdr:colOff>
      <xdr:row>17</xdr:row>
      <xdr:rowOff>66261</xdr:rowOff>
    </xdr:from>
    <xdr:to>
      <xdr:col>0</xdr:col>
      <xdr:colOff>1851660</xdr:colOff>
      <xdr:row>19</xdr:row>
      <xdr:rowOff>59635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218A22-AEBB-407D-D2B7-384C2522975D}"/>
            </a:ext>
          </a:extLst>
        </xdr:cNvPr>
        <xdr:cNvSpPr/>
      </xdr:nvSpPr>
      <xdr:spPr>
        <a:xfrm>
          <a:off x="281940" y="3560860"/>
          <a:ext cx="1569720" cy="398890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3</xdr:row>
      <xdr:rowOff>198782</xdr:rowOff>
    </xdr:to>
    <xdr:sp macro="" textlink="">
      <xdr:nvSpPr>
        <xdr:cNvPr id="15" name="Meio-quadro 14">
          <a:extLst>
            <a:ext uri="{FF2B5EF4-FFF2-40B4-BE49-F238E27FC236}">
              <a16:creationId xmlns:a16="http://schemas.microsoft.com/office/drawing/2014/main" id="{DA0AE126-73A6-F7F4-2882-F07BDB796B39}"/>
            </a:ext>
          </a:extLst>
        </xdr:cNvPr>
        <xdr:cNvSpPr/>
      </xdr:nvSpPr>
      <xdr:spPr>
        <a:xfrm rot="5400000">
          <a:off x="636104" y="-636104"/>
          <a:ext cx="854765" cy="2126974"/>
        </a:xfrm>
        <a:prstGeom prst="halfFram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275986</xdr:colOff>
      <xdr:row>21</xdr:row>
      <xdr:rowOff>172278</xdr:rowOff>
    </xdr:from>
    <xdr:to>
      <xdr:col>0</xdr:col>
      <xdr:colOff>1845706</xdr:colOff>
      <xdr:row>23</xdr:row>
      <xdr:rowOff>178903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4F9F0144-8F0D-139B-62A6-8822BC61B31B}"/>
            </a:ext>
          </a:extLst>
        </xdr:cNvPr>
        <xdr:cNvGrpSpPr/>
      </xdr:nvGrpSpPr>
      <xdr:grpSpPr>
        <a:xfrm>
          <a:off x="275986" y="4515678"/>
          <a:ext cx="1569720" cy="402865"/>
          <a:chOff x="0" y="4750904"/>
          <a:chExt cx="1569720" cy="404190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7CF2C90-2085-1002-8949-6215799EF6FE}"/>
              </a:ext>
            </a:extLst>
          </xdr:cNvPr>
          <xdr:cNvSpPr/>
        </xdr:nvSpPr>
        <xdr:spPr>
          <a:xfrm>
            <a:off x="0" y="4750904"/>
            <a:ext cx="1569720" cy="404190"/>
          </a:xfrm>
          <a:prstGeom prst="roundRect">
            <a:avLst>
              <a:gd name="adj" fmla="val 21545"/>
            </a:avLst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System by Dio</a:t>
            </a:r>
            <a:endParaRPr lang="pt-BR" sz="1400">
              <a:effectLst/>
            </a:endParaRPr>
          </a:p>
        </xdr:txBody>
      </xdr:sp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B95ED93C-794A-E8A8-C9F6-F2A7A460835D}"/>
              </a:ext>
            </a:extLst>
          </xdr:cNvPr>
          <xdr:cNvCxnSpPr/>
        </xdr:nvCxnSpPr>
        <xdr:spPr>
          <a:xfrm>
            <a:off x="175260" y="4750904"/>
            <a:ext cx="1219200" cy="0"/>
          </a:xfrm>
          <a:prstGeom prst="line">
            <a:avLst/>
          </a:prstGeom>
          <a:ln>
            <a:solidFill>
              <a:srgbClr val="18E9BC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275986</xdr:colOff>
      <xdr:row>3</xdr:row>
      <xdr:rowOff>161951</xdr:rowOff>
    </xdr:from>
    <xdr:to>
      <xdr:col>0</xdr:col>
      <xdr:colOff>1845706</xdr:colOff>
      <xdr:row>8</xdr:row>
      <xdr:rowOff>159026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DEA33563-1AE5-BF35-EDDC-BCFB06698CBC}"/>
            </a:ext>
          </a:extLst>
        </xdr:cNvPr>
        <xdr:cNvGrpSpPr/>
      </xdr:nvGrpSpPr>
      <xdr:grpSpPr>
        <a:xfrm>
          <a:off x="275986" y="817271"/>
          <a:ext cx="1569720" cy="1094355"/>
          <a:chOff x="275986" y="817934"/>
          <a:chExt cx="1569720" cy="1097005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8F690330-F73B-6DD5-08A3-DE112C0EC05F}"/>
              </a:ext>
            </a:extLst>
          </xdr:cNvPr>
          <xdr:cNvSpPr/>
        </xdr:nvSpPr>
        <xdr:spPr>
          <a:xfrm>
            <a:off x="275986" y="817934"/>
            <a:ext cx="1569720" cy="404192"/>
          </a:xfrm>
          <a:prstGeom prst="roundRect">
            <a:avLst>
              <a:gd name="adj" fmla="val 21545"/>
            </a:avLst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IRRF Control</a:t>
            </a:r>
            <a:endParaRPr lang="pt-BR" sz="2000"/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85213BA9-7A7A-3C84-6B25-6A061526A5DE}"/>
              </a:ext>
            </a:extLst>
          </xdr:cNvPr>
          <xdr:cNvGrpSpPr/>
        </xdr:nvGrpSpPr>
        <xdr:grpSpPr>
          <a:xfrm>
            <a:off x="790846" y="1361273"/>
            <a:ext cx="540000" cy="553666"/>
            <a:chOff x="3340005" y="1809750"/>
            <a:chExt cx="863220" cy="827025"/>
          </a:xfrm>
        </xdr:grpSpPr>
        <xdr:sp macro="" textlink="">
          <xdr:nvSpPr>
            <xdr:cNvPr id="24" name="Fluxograma: Conector 23">
              <a:extLst>
                <a:ext uri="{FF2B5EF4-FFF2-40B4-BE49-F238E27FC236}">
                  <a16:creationId xmlns:a16="http://schemas.microsoft.com/office/drawing/2014/main" id="{AB790F01-9C1D-E73D-854A-A81AEF262FA5}"/>
                </a:ext>
              </a:extLst>
            </xdr:cNvPr>
            <xdr:cNvSpPr/>
          </xdr:nvSpPr>
          <xdr:spPr>
            <a:xfrm>
              <a:off x="3340005" y="1809750"/>
              <a:ext cx="863220" cy="827025"/>
            </a:xfrm>
            <a:prstGeom prst="flowChartConnector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8841868F-8CBB-665F-1F0A-C07E6C9FD9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407659" y="1863262"/>
              <a:ext cx="727912" cy="720000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3</xdr:col>
      <xdr:colOff>1013791</xdr:colOff>
      <xdr:row>18</xdr:row>
      <xdr:rowOff>198783</xdr:rowOff>
    </xdr:from>
    <xdr:to>
      <xdr:col>4</xdr:col>
      <xdr:colOff>22860</xdr:colOff>
      <xdr:row>21</xdr:row>
      <xdr:rowOff>1371</xdr:rowOff>
    </xdr:to>
    <xdr:grpSp>
      <xdr:nvGrpSpPr>
        <xdr:cNvPr id="5" name="Agrupar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BCA4CD-26B0-4668-B32A-712ADC6FE433}"/>
            </a:ext>
          </a:extLst>
        </xdr:cNvPr>
        <xdr:cNvGrpSpPr/>
      </xdr:nvGrpSpPr>
      <xdr:grpSpPr>
        <a:xfrm>
          <a:off x="6195391" y="3940203"/>
          <a:ext cx="2064689" cy="404568"/>
          <a:chOff x="6149008" y="4651283"/>
          <a:chExt cx="2063695" cy="405562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48FC22CB-2582-382F-CB4F-B955BCD4CD3B}"/>
              </a:ext>
            </a:extLst>
          </xdr:cNvPr>
          <xdr:cNvSpPr/>
        </xdr:nvSpPr>
        <xdr:spPr>
          <a:xfrm>
            <a:off x="6149008" y="4651283"/>
            <a:ext cx="2063695" cy="405562"/>
          </a:xfrm>
          <a:prstGeom prst="roundRect">
            <a:avLst>
              <a:gd name="adj" fmla="val 3512"/>
            </a:avLst>
          </a:prstGeom>
          <a:gradFill flip="none" rotWithShape="1">
            <a:gsLst>
              <a:gs pos="49000">
                <a:srgbClr val="014694"/>
              </a:gs>
              <a:gs pos="75000">
                <a:srgbClr val="085AB3"/>
              </a:gs>
            </a:gsLst>
            <a:lin ang="8100000" scaled="1"/>
            <a:tileRect/>
          </a:gra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6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Próximo</a:t>
            </a:r>
          </a:p>
        </xdr:txBody>
      </xdr:sp>
      <xdr:pic>
        <xdr:nvPicPr>
          <xdr:cNvPr id="10" name="Gráfico 9" descr="Acento Circunflexo à Direita com preenchimento sólido">
            <a:extLst>
              <a:ext uri="{FF2B5EF4-FFF2-40B4-BE49-F238E27FC236}">
                <a16:creationId xmlns:a16="http://schemas.microsoft.com/office/drawing/2014/main" id="{02CD60B1-5A1D-DF6C-CF9B-3838D48106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7475597" y="4705207"/>
            <a:ext cx="324679" cy="32559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1666</xdr:colOff>
      <xdr:row>0</xdr:row>
      <xdr:rowOff>0</xdr:rowOff>
    </xdr:from>
    <xdr:to>
      <xdr:col>0</xdr:col>
      <xdr:colOff>2120026</xdr:colOff>
      <xdr:row>50</xdr:row>
      <xdr:rowOff>7620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3A176AB-B1BE-49CF-ABA0-193FCA900E33}"/>
            </a:ext>
          </a:extLst>
        </xdr:cNvPr>
        <xdr:cNvSpPr/>
      </xdr:nvSpPr>
      <xdr:spPr>
        <a:xfrm>
          <a:off x="1666" y="0"/>
          <a:ext cx="2118360" cy="10210800"/>
        </a:xfrm>
        <a:prstGeom prst="rect">
          <a:avLst/>
        </a:prstGeom>
        <a:gradFill flip="none" rotWithShape="1">
          <a:gsLst>
            <a:gs pos="20000">
              <a:srgbClr val="004693"/>
            </a:gs>
            <a:gs pos="56000">
              <a:srgbClr val="0758B1"/>
            </a:gs>
            <a:gs pos="39000">
              <a:srgbClr val="0552A7"/>
            </a:gs>
            <a:gs pos="81000">
              <a:srgbClr val="095CB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281940</xdr:colOff>
      <xdr:row>10</xdr:row>
      <xdr:rowOff>172278</xdr:rowOff>
    </xdr:from>
    <xdr:to>
      <xdr:col>0</xdr:col>
      <xdr:colOff>1851660</xdr:colOff>
      <xdr:row>12</xdr:row>
      <xdr:rowOff>165653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EF081-FB57-42D2-B28F-62AA09407C0E}"/>
            </a:ext>
          </a:extLst>
        </xdr:cNvPr>
        <xdr:cNvSpPr/>
      </xdr:nvSpPr>
      <xdr:spPr>
        <a:xfrm>
          <a:off x="281940" y="2373464"/>
          <a:ext cx="1569720" cy="402867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281940</xdr:colOff>
      <xdr:row>13</xdr:row>
      <xdr:rowOff>172279</xdr:rowOff>
    </xdr:from>
    <xdr:to>
      <xdr:col>0</xdr:col>
      <xdr:colOff>1851660</xdr:colOff>
      <xdr:row>15</xdr:row>
      <xdr:rowOff>172279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CCF149-5478-4E38-A61D-9435C4B3B734}"/>
            </a:ext>
          </a:extLst>
        </xdr:cNvPr>
        <xdr:cNvSpPr/>
      </xdr:nvSpPr>
      <xdr:spPr>
        <a:xfrm>
          <a:off x="281940" y="2987703"/>
          <a:ext cx="1569720" cy="402866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19050">
          <a:solidFill>
            <a:srgbClr val="18E9B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281940</xdr:colOff>
      <xdr:row>16</xdr:row>
      <xdr:rowOff>178905</xdr:rowOff>
    </xdr:from>
    <xdr:to>
      <xdr:col>0</xdr:col>
      <xdr:colOff>1851660</xdr:colOff>
      <xdr:row>18</xdr:row>
      <xdr:rowOff>172279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6C1D7A-7BE0-4B7E-99DB-CE3474F5B86E}"/>
            </a:ext>
          </a:extLst>
        </xdr:cNvPr>
        <xdr:cNvSpPr/>
      </xdr:nvSpPr>
      <xdr:spPr>
        <a:xfrm>
          <a:off x="281940" y="3601941"/>
          <a:ext cx="1569720" cy="403860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1758</xdr:colOff>
      <xdr:row>3</xdr:row>
      <xdr:rowOff>198782</xdr:rowOff>
    </xdr:to>
    <xdr:sp macro="" textlink="">
      <xdr:nvSpPr>
        <xdr:cNvPr id="6" name="Meio-quadro 5">
          <a:extLst>
            <a:ext uri="{FF2B5EF4-FFF2-40B4-BE49-F238E27FC236}">
              <a16:creationId xmlns:a16="http://schemas.microsoft.com/office/drawing/2014/main" id="{71E3E6B4-13C0-449B-8EF6-844FA57A32A8}"/>
            </a:ext>
          </a:extLst>
        </xdr:cNvPr>
        <xdr:cNvSpPr/>
      </xdr:nvSpPr>
      <xdr:spPr>
        <a:xfrm rot="5400000">
          <a:off x="636270" y="-636270"/>
          <a:ext cx="853440" cy="2125980"/>
        </a:xfrm>
        <a:prstGeom prst="halfFram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275986</xdr:colOff>
      <xdr:row>21</xdr:row>
      <xdr:rowOff>72887</xdr:rowOff>
    </xdr:from>
    <xdr:to>
      <xdr:col>0</xdr:col>
      <xdr:colOff>1845706</xdr:colOff>
      <xdr:row>23</xdr:row>
      <xdr:rowOff>72885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5642D13D-987B-4143-997F-2BB6C1178BDE}"/>
            </a:ext>
          </a:extLst>
        </xdr:cNvPr>
        <xdr:cNvGrpSpPr/>
      </xdr:nvGrpSpPr>
      <xdr:grpSpPr>
        <a:xfrm>
          <a:off x="275986" y="4522967"/>
          <a:ext cx="1569720" cy="403858"/>
          <a:chOff x="0" y="4750904"/>
          <a:chExt cx="1569720" cy="40419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5975D58-54F1-6B56-F43B-15093D43F122}"/>
              </a:ext>
            </a:extLst>
          </xdr:cNvPr>
          <xdr:cNvSpPr/>
        </xdr:nvSpPr>
        <xdr:spPr>
          <a:xfrm>
            <a:off x="0" y="4750904"/>
            <a:ext cx="1569720" cy="404190"/>
          </a:xfrm>
          <a:prstGeom prst="roundRect">
            <a:avLst>
              <a:gd name="adj" fmla="val 21545"/>
            </a:avLst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System by Dio</a:t>
            </a:r>
            <a:endParaRPr lang="pt-BR" sz="1400">
              <a:effectLst/>
            </a:endParaRPr>
          </a:p>
        </xdr:txBody>
      </xdr: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11AEE950-326D-89E6-4A79-B945A56533AE}"/>
              </a:ext>
            </a:extLst>
          </xdr:cNvPr>
          <xdr:cNvCxnSpPr/>
        </xdr:nvCxnSpPr>
        <xdr:spPr>
          <a:xfrm>
            <a:off x="175260" y="4750904"/>
            <a:ext cx="1219200" cy="0"/>
          </a:xfrm>
          <a:prstGeom prst="line">
            <a:avLst/>
          </a:prstGeom>
          <a:ln>
            <a:solidFill>
              <a:srgbClr val="18E9BC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275986</xdr:colOff>
      <xdr:row>3</xdr:row>
      <xdr:rowOff>161951</xdr:rowOff>
    </xdr:from>
    <xdr:to>
      <xdr:col>0</xdr:col>
      <xdr:colOff>1845706</xdr:colOff>
      <xdr:row>8</xdr:row>
      <xdr:rowOff>112643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08F77415-978F-4B65-B425-1CC7FD4A0466}"/>
            </a:ext>
          </a:extLst>
        </xdr:cNvPr>
        <xdr:cNvGrpSpPr/>
      </xdr:nvGrpSpPr>
      <xdr:grpSpPr>
        <a:xfrm>
          <a:off x="275986" y="817271"/>
          <a:ext cx="1569720" cy="1093692"/>
          <a:chOff x="275986" y="817934"/>
          <a:chExt cx="1569720" cy="1097005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DB262188-1842-8C47-346E-A0F3E865E683}"/>
              </a:ext>
            </a:extLst>
          </xdr:cNvPr>
          <xdr:cNvSpPr/>
        </xdr:nvSpPr>
        <xdr:spPr>
          <a:xfrm>
            <a:off x="275986" y="817934"/>
            <a:ext cx="1569720" cy="404192"/>
          </a:xfrm>
          <a:prstGeom prst="roundRect">
            <a:avLst>
              <a:gd name="adj" fmla="val 21545"/>
            </a:avLst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IRRF Control</a:t>
            </a:r>
            <a:endParaRPr lang="pt-BR" sz="2000"/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83B95448-9F67-EA2B-8F28-2E1291DAD6B9}"/>
              </a:ext>
            </a:extLst>
          </xdr:cNvPr>
          <xdr:cNvGrpSpPr/>
        </xdr:nvGrpSpPr>
        <xdr:grpSpPr>
          <a:xfrm>
            <a:off x="790846" y="1361273"/>
            <a:ext cx="540000" cy="553666"/>
            <a:chOff x="3340005" y="1809750"/>
            <a:chExt cx="863220" cy="827025"/>
          </a:xfrm>
        </xdr:grpSpPr>
        <xdr:sp macro="" textlink="">
          <xdr:nvSpPr>
            <xdr:cNvPr id="13" name="Fluxograma: Conector 12">
              <a:extLst>
                <a:ext uri="{FF2B5EF4-FFF2-40B4-BE49-F238E27FC236}">
                  <a16:creationId xmlns:a16="http://schemas.microsoft.com/office/drawing/2014/main" id="{5BCD1447-16AF-AE21-F3F2-099E0D8F741F}"/>
                </a:ext>
              </a:extLst>
            </xdr:cNvPr>
            <xdr:cNvSpPr/>
          </xdr:nvSpPr>
          <xdr:spPr>
            <a:xfrm>
              <a:off x="3340005" y="1809750"/>
              <a:ext cx="863220" cy="827025"/>
            </a:xfrm>
            <a:prstGeom prst="flowChartConnector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39E8531A-C2DC-F054-B1BD-81296F00B0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407659" y="1863262"/>
              <a:ext cx="727912" cy="720000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3</xdr:col>
      <xdr:colOff>967408</xdr:colOff>
      <xdr:row>22</xdr:row>
      <xdr:rowOff>455</xdr:rowOff>
    </xdr:from>
    <xdr:to>
      <xdr:col>3</xdr:col>
      <xdr:colOff>3031103</xdr:colOff>
      <xdr:row>24</xdr:row>
      <xdr:rowOff>6624</xdr:rowOff>
    </xdr:to>
    <xdr:grpSp>
      <xdr:nvGrpSpPr>
        <xdr:cNvPr id="18" name="Agrupar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EEA560-CA77-184A-AD38-6DC4DE1D95DF}"/>
            </a:ext>
          </a:extLst>
        </xdr:cNvPr>
        <xdr:cNvGrpSpPr/>
      </xdr:nvGrpSpPr>
      <xdr:grpSpPr>
        <a:xfrm>
          <a:off x="6149008" y="4656275"/>
          <a:ext cx="2063695" cy="402409"/>
          <a:chOff x="6149008" y="4651283"/>
          <a:chExt cx="2063695" cy="405562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24701E31-9F9E-42E6-AC61-8CE66D4EBEE6}"/>
              </a:ext>
            </a:extLst>
          </xdr:cNvPr>
          <xdr:cNvSpPr/>
        </xdr:nvSpPr>
        <xdr:spPr>
          <a:xfrm>
            <a:off x="6149008" y="4651283"/>
            <a:ext cx="2063695" cy="405562"/>
          </a:xfrm>
          <a:prstGeom prst="roundRect">
            <a:avLst>
              <a:gd name="adj" fmla="val 3512"/>
            </a:avLst>
          </a:prstGeom>
          <a:gradFill flip="none" rotWithShape="1">
            <a:gsLst>
              <a:gs pos="49000">
                <a:srgbClr val="014694"/>
              </a:gs>
              <a:gs pos="75000">
                <a:srgbClr val="085AB3"/>
              </a:gs>
            </a:gsLst>
            <a:lin ang="8100000" scaled="1"/>
            <a:tileRect/>
          </a:gra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6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Próximo</a:t>
            </a:r>
          </a:p>
        </xdr:txBody>
      </xdr:sp>
      <xdr:pic>
        <xdr:nvPicPr>
          <xdr:cNvPr id="17" name="Gráfico 16" descr="Acento Circunflexo à Direita com preenchimento sólido">
            <a:extLst>
              <a:ext uri="{FF2B5EF4-FFF2-40B4-BE49-F238E27FC236}">
                <a16:creationId xmlns:a16="http://schemas.microsoft.com/office/drawing/2014/main" id="{3349FD2E-E3F8-3327-C686-6FF52DD1A5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475597" y="4705207"/>
            <a:ext cx="322137" cy="323043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556898</xdr:colOff>
      <xdr:row>22</xdr:row>
      <xdr:rowOff>455</xdr:rowOff>
    </xdr:from>
    <xdr:to>
      <xdr:col>2</xdr:col>
      <xdr:colOff>2010993</xdr:colOff>
      <xdr:row>24</xdr:row>
      <xdr:rowOff>6624</xdr:rowOff>
    </xdr:to>
    <xdr:grpSp>
      <xdr:nvGrpSpPr>
        <xdr:cNvPr id="24" name="Agrupar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C1DAE9-D614-FE87-E085-961C3A45C62D}"/>
            </a:ext>
          </a:extLst>
        </xdr:cNvPr>
        <xdr:cNvGrpSpPr/>
      </xdr:nvGrpSpPr>
      <xdr:grpSpPr>
        <a:xfrm>
          <a:off x="2682878" y="4656275"/>
          <a:ext cx="2063695" cy="402409"/>
          <a:chOff x="2681789" y="4682675"/>
          <a:chExt cx="2063695" cy="406764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EE2E48CF-F933-1263-4DBB-92E22C32EE27}"/>
              </a:ext>
            </a:extLst>
          </xdr:cNvPr>
          <xdr:cNvSpPr/>
        </xdr:nvSpPr>
        <xdr:spPr>
          <a:xfrm>
            <a:off x="2681789" y="4682675"/>
            <a:ext cx="2063695" cy="406764"/>
          </a:xfrm>
          <a:prstGeom prst="roundRect">
            <a:avLst>
              <a:gd name="adj" fmla="val 3512"/>
            </a:avLst>
          </a:prstGeom>
          <a:gradFill flip="none" rotWithShape="1">
            <a:gsLst>
              <a:gs pos="49000">
                <a:srgbClr val="014694"/>
              </a:gs>
              <a:gs pos="75000">
                <a:srgbClr val="085AB3"/>
              </a:gs>
            </a:gsLst>
            <a:lin ang="8100000" scaled="1"/>
            <a:tileRect/>
          </a:gra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6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Voltar</a:t>
            </a:r>
          </a:p>
        </xdr:txBody>
      </xdr:sp>
      <xdr:pic>
        <xdr:nvPicPr>
          <xdr:cNvPr id="23" name="Gráfico 22" descr="Acento Circunflexo à Esquerda com preenchimento sólido">
            <a:extLst>
              <a:ext uri="{FF2B5EF4-FFF2-40B4-BE49-F238E27FC236}">
                <a16:creationId xmlns:a16="http://schemas.microsoft.com/office/drawing/2014/main" id="{91CF2BEE-D5A7-02F5-022E-1C7F5E34F6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178293" y="4730931"/>
            <a:ext cx="322002" cy="32400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1666</xdr:colOff>
      <xdr:row>0</xdr:row>
      <xdr:rowOff>0</xdr:rowOff>
    </xdr:from>
    <xdr:to>
      <xdr:col>0</xdr:col>
      <xdr:colOff>2120026</xdr:colOff>
      <xdr:row>50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F0597A1-6F14-4945-98C6-78592308E8BE}"/>
            </a:ext>
          </a:extLst>
        </xdr:cNvPr>
        <xdr:cNvSpPr/>
      </xdr:nvSpPr>
      <xdr:spPr>
        <a:xfrm>
          <a:off x="1666" y="0"/>
          <a:ext cx="2118360" cy="10149840"/>
        </a:xfrm>
        <a:prstGeom prst="rect">
          <a:avLst/>
        </a:prstGeom>
        <a:gradFill flip="none" rotWithShape="1">
          <a:gsLst>
            <a:gs pos="20000">
              <a:srgbClr val="004693"/>
            </a:gs>
            <a:gs pos="56000">
              <a:srgbClr val="0758B1"/>
            </a:gs>
            <a:gs pos="39000">
              <a:srgbClr val="0552A7"/>
            </a:gs>
            <a:gs pos="81000">
              <a:srgbClr val="095CB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281940</xdr:colOff>
      <xdr:row>10</xdr:row>
      <xdr:rowOff>142970</xdr:rowOff>
    </xdr:from>
    <xdr:to>
      <xdr:col>0</xdr:col>
      <xdr:colOff>1851660</xdr:colOff>
      <xdr:row>12</xdr:row>
      <xdr:rowOff>148069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E3873C-4333-450E-B9BA-1849CCC0E806}"/>
            </a:ext>
          </a:extLst>
        </xdr:cNvPr>
        <xdr:cNvSpPr/>
      </xdr:nvSpPr>
      <xdr:spPr>
        <a:xfrm>
          <a:off x="281940" y="2374458"/>
          <a:ext cx="1569720" cy="404855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281940</xdr:colOff>
      <xdr:row>13</xdr:row>
      <xdr:rowOff>160555</xdr:rowOff>
    </xdr:from>
    <xdr:to>
      <xdr:col>0</xdr:col>
      <xdr:colOff>1851660</xdr:colOff>
      <xdr:row>15</xdr:row>
      <xdr:rowOff>166418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D2CE2-B824-45E0-9528-870BC52BD56E}"/>
            </a:ext>
          </a:extLst>
        </xdr:cNvPr>
        <xdr:cNvSpPr/>
      </xdr:nvSpPr>
      <xdr:spPr>
        <a:xfrm>
          <a:off x="281940" y="2991679"/>
          <a:ext cx="1569720" cy="403860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281940</xdr:colOff>
      <xdr:row>16</xdr:row>
      <xdr:rowOff>178905</xdr:rowOff>
    </xdr:from>
    <xdr:to>
      <xdr:col>0</xdr:col>
      <xdr:colOff>1851660</xdr:colOff>
      <xdr:row>18</xdr:row>
      <xdr:rowOff>184002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9CC8B3-F5B6-4E62-91EE-54B372049384}"/>
            </a:ext>
          </a:extLst>
        </xdr:cNvPr>
        <xdr:cNvSpPr/>
      </xdr:nvSpPr>
      <xdr:spPr>
        <a:xfrm>
          <a:off x="281940" y="3607905"/>
          <a:ext cx="1569720" cy="404854"/>
        </a:xfrm>
        <a:prstGeom prst="roundRect">
          <a:avLst>
            <a:gd name="adj" fmla="val 21545"/>
          </a:avLst>
        </a:prstGeom>
        <a:gradFill flip="none" rotWithShape="1">
          <a:gsLst>
            <a:gs pos="49000">
              <a:srgbClr val="014694"/>
            </a:gs>
            <a:gs pos="75000">
              <a:srgbClr val="085AB3"/>
            </a:gs>
          </a:gsLst>
          <a:lin ang="8100000" scaled="1"/>
          <a:tileRect/>
        </a:gradFill>
        <a:ln w="19050">
          <a:solidFill>
            <a:srgbClr val="18E9B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+mn-lt"/>
              <a:ea typeface="+mn-ea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3663</xdr:colOff>
      <xdr:row>3</xdr:row>
      <xdr:rowOff>198782</xdr:rowOff>
    </xdr:to>
    <xdr:sp macro="" textlink="">
      <xdr:nvSpPr>
        <xdr:cNvPr id="6" name="Meio-quadro 5">
          <a:extLst>
            <a:ext uri="{FF2B5EF4-FFF2-40B4-BE49-F238E27FC236}">
              <a16:creationId xmlns:a16="http://schemas.microsoft.com/office/drawing/2014/main" id="{3EAC9AA6-F654-4CA5-A69C-0F00F3553B5F}"/>
            </a:ext>
          </a:extLst>
        </xdr:cNvPr>
        <xdr:cNvSpPr/>
      </xdr:nvSpPr>
      <xdr:spPr>
        <a:xfrm rot="5400000">
          <a:off x="635939" y="-635939"/>
          <a:ext cx="854102" cy="2125980"/>
        </a:xfrm>
        <a:prstGeom prst="halfFram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275986</xdr:colOff>
      <xdr:row>21</xdr:row>
      <xdr:rowOff>96333</xdr:rowOff>
    </xdr:from>
    <xdr:to>
      <xdr:col>0</xdr:col>
      <xdr:colOff>1845706</xdr:colOff>
      <xdr:row>23</xdr:row>
      <xdr:rowOff>102192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1DAF752E-0FD7-4251-80E8-96EF66623B22}"/>
            </a:ext>
          </a:extLst>
        </xdr:cNvPr>
        <xdr:cNvGrpSpPr/>
      </xdr:nvGrpSpPr>
      <xdr:grpSpPr>
        <a:xfrm>
          <a:off x="275986" y="4500693"/>
          <a:ext cx="1569720" cy="402099"/>
          <a:chOff x="0" y="4750904"/>
          <a:chExt cx="1569720" cy="40419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6F87BC5-9334-4CE1-F03A-0052A28D4E3A}"/>
              </a:ext>
            </a:extLst>
          </xdr:cNvPr>
          <xdr:cNvSpPr/>
        </xdr:nvSpPr>
        <xdr:spPr>
          <a:xfrm>
            <a:off x="0" y="4750904"/>
            <a:ext cx="1569720" cy="404190"/>
          </a:xfrm>
          <a:prstGeom prst="roundRect">
            <a:avLst>
              <a:gd name="adj" fmla="val 21545"/>
            </a:avLst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System by Dio</a:t>
            </a:r>
            <a:endParaRPr lang="pt-BR" sz="1400">
              <a:effectLst/>
            </a:endParaRPr>
          </a:p>
        </xdr:txBody>
      </xdr: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6E219A4A-773B-D45D-C10B-EC2BB62C75E0}"/>
              </a:ext>
            </a:extLst>
          </xdr:cNvPr>
          <xdr:cNvCxnSpPr/>
        </xdr:nvCxnSpPr>
        <xdr:spPr>
          <a:xfrm>
            <a:off x="175260" y="4750904"/>
            <a:ext cx="1219200" cy="0"/>
          </a:xfrm>
          <a:prstGeom prst="line">
            <a:avLst/>
          </a:prstGeom>
          <a:ln>
            <a:solidFill>
              <a:srgbClr val="18E9BC"/>
            </a:solidFill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275986</xdr:colOff>
      <xdr:row>3</xdr:row>
      <xdr:rowOff>161951</xdr:rowOff>
    </xdr:from>
    <xdr:to>
      <xdr:col>0</xdr:col>
      <xdr:colOff>1845706</xdr:colOff>
      <xdr:row>8</xdr:row>
      <xdr:rowOff>77474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4B277553-2B87-447A-96EC-E2B95A294EA8}"/>
            </a:ext>
          </a:extLst>
        </xdr:cNvPr>
        <xdr:cNvGrpSpPr/>
      </xdr:nvGrpSpPr>
      <xdr:grpSpPr>
        <a:xfrm>
          <a:off x="275986" y="817271"/>
          <a:ext cx="1569720" cy="1089003"/>
          <a:chOff x="275986" y="817934"/>
          <a:chExt cx="1569720" cy="1097005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FD600255-B699-5A81-C222-E619511FF2FB}"/>
              </a:ext>
            </a:extLst>
          </xdr:cNvPr>
          <xdr:cNvSpPr/>
        </xdr:nvSpPr>
        <xdr:spPr>
          <a:xfrm>
            <a:off x="275986" y="817934"/>
            <a:ext cx="1569720" cy="404192"/>
          </a:xfrm>
          <a:prstGeom prst="roundRect">
            <a:avLst>
              <a:gd name="adj" fmla="val 21545"/>
            </a:avLst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IRRF Control</a:t>
            </a:r>
            <a:endParaRPr lang="pt-BR" sz="2000"/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621E68D-8D55-824E-D166-3DC21A29C2E1}"/>
              </a:ext>
            </a:extLst>
          </xdr:cNvPr>
          <xdr:cNvGrpSpPr/>
        </xdr:nvGrpSpPr>
        <xdr:grpSpPr>
          <a:xfrm>
            <a:off x="790846" y="1361273"/>
            <a:ext cx="540000" cy="553666"/>
            <a:chOff x="3340005" y="1809750"/>
            <a:chExt cx="863220" cy="827025"/>
          </a:xfrm>
        </xdr:grpSpPr>
        <xdr:sp macro="" textlink="">
          <xdr:nvSpPr>
            <xdr:cNvPr id="13" name="Fluxograma: Conector 12">
              <a:extLst>
                <a:ext uri="{FF2B5EF4-FFF2-40B4-BE49-F238E27FC236}">
                  <a16:creationId xmlns:a16="http://schemas.microsoft.com/office/drawing/2014/main" id="{866D77CB-10A1-2085-F2D8-92D9AB77EA20}"/>
                </a:ext>
              </a:extLst>
            </xdr:cNvPr>
            <xdr:cNvSpPr/>
          </xdr:nvSpPr>
          <xdr:spPr>
            <a:xfrm>
              <a:off x="3340005" y="1809750"/>
              <a:ext cx="863220" cy="827025"/>
            </a:xfrm>
            <a:prstGeom prst="flowChartConnector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E70A1A22-2B76-AA05-881A-5B966BF817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407659" y="1863262"/>
              <a:ext cx="727912" cy="720000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607770</xdr:colOff>
      <xdr:row>4</xdr:row>
      <xdr:rowOff>57518</xdr:rowOff>
    </xdr:from>
    <xdr:to>
      <xdr:col>3</xdr:col>
      <xdr:colOff>302970</xdr:colOff>
      <xdr:row>5</xdr:row>
      <xdr:rowOff>139579</xdr:rowOff>
    </xdr:to>
    <xdr:grpSp>
      <xdr:nvGrpSpPr>
        <xdr:cNvPr id="21" name="Agrupar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FF5DE4-1C7F-4216-A10F-7F06FDF48016}"/>
            </a:ext>
          </a:extLst>
        </xdr:cNvPr>
        <xdr:cNvGrpSpPr/>
      </xdr:nvGrpSpPr>
      <xdr:grpSpPr>
        <a:xfrm>
          <a:off x="2733750" y="1002398"/>
          <a:ext cx="1684020" cy="310661"/>
          <a:chOff x="2760885" y="4682675"/>
          <a:chExt cx="2063695" cy="406764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1146F329-922E-EB86-313A-7E8396D2BDF5}"/>
              </a:ext>
            </a:extLst>
          </xdr:cNvPr>
          <xdr:cNvSpPr/>
        </xdr:nvSpPr>
        <xdr:spPr>
          <a:xfrm>
            <a:off x="2760885" y="4682675"/>
            <a:ext cx="2063695" cy="406764"/>
          </a:xfrm>
          <a:prstGeom prst="roundRect">
            <a:avLst>
              <a:gd name="adj" fmla="val 3512"/>
            </a:avLst>
          </a:prstGeom>
          <a:gradFill flip="none" rotWithShape="1">
            <a:gsLst>
              <a:gs pos="49000">
                <a:srgbClr val="014694"/>
              </a:gs>
              <a:gs pos="75000">
                <a:srgbClr val="085AB3"/>
              </a:gs>
            </a:gsLst>
            <a:lin ang="8100000" scaled="1"/>
            <a:tileRect/>
          </a:gra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6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Voltar</a:t>
            </a:r>
          </a:p>
        </xdr:txBody>
      </xdr:sp>
      <xdr:pic>
        <xdr:nvPicPr>
          <xdr:cNvPr id="23" name="Gráfico 22" descr="Acento Circunflexo à Esquerda com preenchimento sólido">
            <a:extLst>
              <a:ext uri="{FF2B5EF4-FFF2-40B4-BE49-F238E27FC236}">
                <a16:creationId xmlns:a16="http://schemas.microsoft.com/office/drawing/2014/main" id="{EE48FE0B-C73A-66D8-094B-56FD61F2E3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78293" y="4730931"/>
            <a:ext cx="322002" cy="324000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30C47C-FB9F-4824-9107-843E44017204}" name="Tabela2" displayName="Tabela2" ref="C8:E50" totalsRowShown="0" headerRowDxfId="7" dataDxfId="0" headerRowBorderDxfId="6" tableBorderDxfId="5" totalsRowBorderDxfId="4">
  <autoFilter ref="C8:E50" xr:uid="{EE30C47C-FB9F-4824-9107-843E44017204}"/>
  <tableColumns count="3">
    <tableColumn id="1" xr3:uid="{94F76C1B-0FD2-45C6-ACE3-1CCD0FD96345}" name="Data" dataDxfId="3"/>
    <tableColumn id="2" xr3:uid="{7EAA2BAA-1EFB-4E32-B430-430396BB35DC}" name="Categoria" dataDxfId="2"/>
    <tableColumn id="3" xr3:uid="{52B0C3E2-DE50-43A7-B209-42481B8D4800}" name="Valor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teste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0933-98EE-4AFF-8B14-A161B21F6A1B}">
  <dimension ref="A3:E50"/>
  <sheetViews>
    <sheetView showGridLines="0" showRowColHeaders="0" zoomScaleNormal="100" workbookViewId="0">
      <selection activeCell="D17" sqref="D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6" x14ac:dyDescent="0.3"/>
  <cols>
    <col min="1" max="1" width="31" customWidth="1"/>
    <col min="3" max="3" width="35.6640625" style="2" bestFit="1" customWidth="1"/>
    <col min="4" max="4" width="44.5546875" style="2" customWidth="1"/>
  </cols>
  <sheetData>
    <row r="3" spans="3:5" ht="20.399999999999999" thickBot="1" x14ac:dyDescent="0.45">
      <c r="C3" s="3" t="s">
        <v>12</v>
      </c>
      <c r="D3" s="3"/>
      <c r="E3" s="3"/>
    </row>
    <row r="4" spans="3:5" ht="22.8" customHeight="1" thickTop="1" x14ac:dyDescent="0.3">
      <c r="C4" s="19" t="s">
        <v>13</v>
      </c>
      <c r="D4" s="19"/>
      <c r="E4" s="19"/>
    </row>
    <row r="5" spans="3:5" ht="16.2" thickBot="1" x14ac:dyDescent="0.35"/>
    <row r="6" spans="3:5" ht="16.2" thickTop="1" x14ac:dyDescent="0.3">
      <c r="C6" s="4" t="s">
        <v>1</v>
      </c>
      <c r="D6" s="21" t="s">
        <v>18</v>
      </c>
    </row>
    <row r="7" spans="3:5" x14ac:dyDescent="0.3">
      <c r="C7" s="5" t="s">
        <v>0</v>
      </c>
      <c r="D7" s="22">
        <v>11111111111</v>
      </c>
    </row>
    <row r="8" spans="3:5" x14ac:dyDescent="0.3">
      <c r="C8" s="5" t="s">
        <v>2</v>
      </c>
      <c r="D8" s="23">
        <v>20644</v>
      </c>
    </row>
    <row r="9" spans="3:5" x14ac:dyDescent="0.3">
      <c r="C9" s="5" t="s">
        <v>3</v>
      </c>
      <c r="D9" s="24">
        <v>1111111111111</v>
      </c>
    </row>
    <row r="10" spans="3:5" x14ac:dyDescent="0.3">
      <c r="C10" s="5" t="s">
        <v>9</v>
      </c>
      <c r="D10" s="25" t="s">
        <v>16</v>
      </c>
    </row>
    <row r="11" spans="3:5" x14ac:dyDescent="0.3">
      <c r="C11" s="5" t="s">
        <v>10</v>
      </c>
      <c r="D11" s="25" t="s">
        <v>16</v>
      </c>
    </row>
    <row r="12" spans="3:5" x14ac:dyDescent="0.3">
      <c r="C12" s="5" t="s">
        <v>11</v>
      </c>
      <c r="D12" s="25" t="s">
        <v>16</v>
      </c>
    </row>
    <row r="13" spans="3:5" x14ac:dyDescent="0.3">
      <c r="C13" s="5" t="s">
        <v>14</v>
      </c>
      <c r="D13" s="25" t="s">
        <v>17</v>
      </c>
    </row>
    <row r="14" spans="3:5" x14ac:dyDescent="0.3">
      <c r="C14" s="5" t="s">
        <v>4</v>
      </c>
      <c r="D14" s="25" t="s">
        <v>144</v>
      </c>
    </row>
    <row r="15" spans="3:5" x14ac:dyDescent="0.3">
      <c r="C15" s="5" t="s">
        <v>5</v>
      </c>
      <c r="D15" s="26">
        <v>71544754</v>
      </c>
    </row>
    <row r="16" spans="3:5" x14ac:dyDescent="0.3">
      <c r="C16" s="5" t="s">
        <v>6</v>
      </c>
      <c r="D16" s="27">
        <v>6199999999</v>
      </c>
    </row>
    <row r="17" spans="3:4" x14ac:dyDescent="0.3">
      <c r="C17" s="5" t="s">
        <v>7</v>
      </c>
      <c r="D17" s="28">
        <v>61999999999</v>
      </c>
    </row>
    <row r="18" spans="3:4" ht="16.2" thickBot="1" x14ac:dyDescent="0.35">
      <c r="C18" s="6" t="s">
        <v>8</v>
      </c>
      <c r="D18" s="29" t="s">
        <v>15</v>
      </c>
    </row>
    <row r="19" spans="3:4" ht="16.2" thickTop="1" x14ac:dyDescent="0.3"/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0:D12" xr:uid="{7AB58A9C-C063-444F-B580-00B8A578F4D5}">
      <formula1>"Sim,Não"</formula1>
    </dataValidation>
  </dataValidations>
  <hyperlinks>
    <hyperlink ref="D18" r:id="rId1" xr:uid="{13D2BE71-5B1A-4CD8-9C21-CDC3CFAC002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C889-6CF4-4D03-AB23-5B06CF22CFC4}">
  <dimension ref="A3:E40"/>
  <sheetViews>
    <sheetView showGridLines="0" showRowColHeaders="0" zoomScaleNormal="100" workbookViewId="0">
      <selection activeCell="D20" sqref="D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6" x14ac:dyDescent="0.3"/>
  <cols>
    <col min="1" max="1" width="31" customWidth="1"/>
    <col min="3" max="3" width="35.6640625" style="2" bestFit="1" customWidth="1"/>
    <col min="4" max="4" width="44.5546875" style="2" customWidth="1"/>
  </cols>
  <sheetData>
    <row r="3" spans="3:5" ht="20.399999999999999" thickBot="1" x14ac:dyDescent="0.45">
      <c r="C3" s="3" t="s">
        <v>143</v>
      </c>
      <c r="D3" s="3"/>
      <c r="E3" s="3"/>
    </row>
    <row r="4" spans="3:5" ht="22.8" customHeight="1" thickTop="1" x14ac:dyDescent="0.3">
      <c r="C4" s="19" t="s">
        <v>19</v>
      </c>
      <c r="D4" s="19"/>
      <c r="E4" s="19"/>
    </row>
    <row r="5" spans="3:5" ht="16.2" thickBot="1" x14ac:dyDescent="0.35"/>
    <row r="6" spans="3:5" ht="18.600000000000001" thickTop="1" thickBot="1" x14ac:dyDescent="0.4">
      <c r="C6" s="11" t="s">
        <v>134</v>
      </c>
      <c r="D6" s="12">
        <f>SUM(D10,D15,D20)</f>
        <v>6500</v>
      </c>
    </row>
    <row r="7" spans="3:5" ht="16.2" thickTop="1" x14ac:dyDescent="0.3"/>
    <row r="8" spans="3:5" ht="16.2" thickBot="1" x14ac:dyDescent="0.35">
      <c r="C8" s="10" t="s">
        <v>129</v>
      </c>
    </row>
    <row r="9" spans="3:5" ht="16.2" thickTop="1" x14ac:dyDescent="0.3">
      <c r="C9" s="4" t="s">
        <v>20</v>
      </c>
      <c r="D9" s="21" t="s">
        <v>23</v>
      </c>
    </row>
    <row r="10" spans="3:5" x14ac:dyDescent="0.3">
      <c r="C10" s="5" t="s">
        <v>21</v>
      </c>
      <c r="D10" s="30">
        <v>4000</v>
      </c>
    </row>
    <row r="11" spans="3:5" ht="16.2" thickBot="1" x14ac:dyDescent="0.35">
      <c r="C11" s="6" t="s">
        <v>22</v>
      </c>
      <c r="D11" s="31" t="s">
        <v>128</v>
      </c>
    </row>
    <row r="12" spans="3:5" ht="16.2" thickTop="1" x14ac:dyDescent="0.3"/>
    <row r="13" spans="3:5" ht="16.2" thickBot="1" x14ac:dyDescent="0.35">
      <c r="C13" s="10" t="s">
        <v>130</v>
      </c>
    </row>
    <row r="14" spans="3:5" ht="16.2" thickTop="1" x14ac:dyDescent="0.3">
      <c r="C14" s="4" t="s">
        <v>20</v>
      </c>
      <c r="D14" s="21" t="s">
        <v>36</v>
      </c>
    </row>
    <row r="15" spans="3:5" x14ac:dyDescent="0.3">
      <c r="C15" s="5" t="s">
        <v>21</v>
      </c>
      <c r="D15" s="30">
        <v>2000</v>
      </c>
    </row>
    <row r="16" spans="3:5" ht="16.2" thickBot="1" x14ac:dyDescent="0.35">
      <c r="C16" s="6" t="s">
        <v>22</v>
      </c>
      <c r="D16" s="31" t="s">
        <v>131</v>
      </c>
    </row>
    <row r="17" spans="1:4" ht="16.2" thickTop="1" x14ac:dyDescent="0.3"/>
    <row r="18" spans="1:4" ht="16.2" thickBot="1" x14ac:dyDescent="0.35">
      <c r="C18" s="10" t="s">
        <v>132</v>
      </c>
    </row>
    <row r="19" spans="1:4" ht="16.2" thickTop="1" x14ac:dyDescent="0.3">
      <c r="C19" s="4" t="s">
        <v>20</v>
      </c>
      <c r="D19" s="21" t="s">
        <v>37</v>
      </c>
    </row>
    <row r="20" spans="1:4" x14ac:dyDescent="0.3">
      <c r="C20" s="5" t="s">
        <v>21</v>
      </c>
      <c r="D20" s="30">
        <v>500</v>
      </c>
    </row>
    <row r="21" spans="1:4" ht="16.2" thickBot="1" x14ac:dyDescent="0.35">
      <c r="C21" s="6" t="s">
        <v>22</v>
      </c>
      <c r="D21" s="31" t="s">
        <v>133</v>
      </c>
    </row>
    <row r="22" spans="1:4" ht="16.2" thickTop="1" x14ac:dyDescent="0.3"/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Atenção!" error="Banco inválido. Selecione um banco da lista." promptTitle="Informe um banco" prompt="Selecione o seu banco na lista!" xr:uid="{5755DD27-95ED-4343-B726-7A76F0A33F60}">
          <x14:formula1>
            <xm:f>BANCOS!$C$2:$C$104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DE1F-1BD4-4F81-BE54-CCE8816869FA}">
  <dimension ref="A3:E50"/>
  <sheetViews>
    <sheetView showGridLines="0" showRowColHeaders="0" tabSelected="1" zoomScaleNormal="10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6" x14ac:dyDescent="0.3"/>
  <cols>
    <col min="1" max="1" width="31" customWidth="1"/>
    <col min="3" max="3" width="20.109375" style="2" customWidth="1"/>
    <col min="4" max="4" width="27.6640625" style="16" customWidth="1"/>
    <col min="5" max="5" width="19.6640625" style="2" customWidth="1"/>
  </cols>
  <sheetData>
    <row r="3" spans="3:5" ht="20.399999999999999" thickBot="1" x14ac:dyDescent="0.45">
      <c r="C3" s="3" t="s">
        <v>141</v>
      </c>
      <c r="D3" s="15"/>
      <c r="E3" s="3"/>
    </row>
    <row r="4" spans="3:5" ht="22.8" customHeight="1" thickTop="1" x14ac:dyDescent="0.3">
      <c r="C4" s="19" t="s">
        <v>135</v>
      </c>
      <c r="D4" s="19"/>
      <c r="E4" s="19"/>
    </row>
    <row r="5" spans="3:5" ht="18" customHeight="1" x14ac:dyDescent="0.3">
      <c r="C5" s="18"/>
      <c r="D5" s="18"/>
      <c r="E5" s="18"/>
    </row>
    <row r="7" spans="3:5" ht="20.399999999999999" customHeight="1" x14ac:dyDescent="0.3">
      <c r="C7" s="20" t="s">
        <v>139</v>
      </c>
      <c r="D7" s="20"/>
      <c r="E7" s="20"/>
    </row>
    <row r="8" spans="3:5" x14ac:dyDescent="0.3">
      <c r="C8" s="13" t="s">
        <v>136</v>
      </c>
      <c r="D8" s="17" t="s">
        <v>137</v>
      </c>
      <c r="E8" s="14" t="s">
        <v>138</v>
      </c>
    </row>
    <row r="9" spans="3:5" x14ac:dyDescent="0.3">
      <c r="C9" s="32">
        <v>46051</v>
      </c>
      <c r="D9" s="33" t="s">
        <v>140</v>
      </c>
      <c r="E9" s="34">
        <v>3000</v>
      </c>
    </row>
    <row r="10" spans="3:5" x14ac:dyDescent="0.3">
      <c r="C10" s="32"/>
      <c r="D10" s="33"/>
      <c r="E10" s="34"/>
    </row>
    <row r="11" spans="3:5" x14ac:dyDescent="0.3">
      <c r="C11" s="32"/>
      <c r="D11" s="33"/>
      <c r="E11" s="34"/>
    </row>
    <row r="12" spans="3:5" x14ac:dyDescent="0.3">
      <c r="C12" s="32"/>
      <c r="D12" s="33"/>
      <c r="E12" s="34"/>
    </row>
    <row r="13" spans="3:5" x14ac:dyDescent="0.3">
      <c r="C13" s="32"/>
      <c r="D13" s="33"/>
      <c r="E13" s="34"/>
    </row>
    <row r="14" spans="3:5" x14ac:dyDescent="0.3">
      <c r="C14" s="32"/>
      <c r="D14" s="33"/>
      <c r="E14" s="34"/>
    </row>
    <row r="15" spans="3:5" x14ac:dyDescent="0.3">
      <c r="C15" s="32"/>
      <c r="D15" s="33"/>
      <c r="E15" s="34"/>
    </row>
    <row r="16" spans="3:5" x14ac:dyDescent="0.3">
      <c r="C16" s="32"/>
      <c r="D16" s="33"/>
      <c r="E16" s="34"/>
    </row>
    <row r="17" spans="3:5" x14ac:dyDescent="0.3">
      <c r="C17" s="32"/>
      <c r="D17" s="33"/>
      <c r="E17" s="34"/>
    </row>
    <row r="18" spans="3:5" x14ac:dyDescent="0.3">
      <c r="C18" s="32"/>
      <c r="D18" s="33"/>
      <c r="E18" s="34"/>
    </row>
    <row r="19" spans="3:5" x14ac:dyDescent="0.3">
      <c r="C19" s="32"/>
      <c r="D19" s="33"/>
      <c r="E19" s="34"/>
    </row>
    <row r="20" spans="3:5" x14ac:dyDescent="0.3">
      <c r="C20" s="32"/>
      <c r="D20" s="33"/>
      <c r="E20" s="34"/>
    </row>
    <row r="21" spans="3:5" x14ac:dyDescent="0.3">
      <c r="C21" s="32"/>
      <c r="D21" s="33"/>
      <c r="E21" s="34"/>
    </row>
    <row r="22" spans="3:5" x14ac:dyDescent="0.3">
      <c r="C22" s="32"/>
      <c r="D22" s="33"/>
      <c r="E22" s="34"/>
    </row>
    <row r="23" spans="3:5" x14ac:dyDescent="0.3">
      <c r="C23" s="32"/>
      <c r="D23" s="33"/>
      <c r="E23" s="34"/>
    </row>
    <row r="24" spans="3:5" x14ac:dyDescent="0.3">
      <c r="C24" s="32"/>
      <c r="D24" s="33"/>
      <c r="E24" s="34"/>
    </row>
    <row r="25" spans="3:5" x14ac:dyDescent="0.3">
      <c r="C25" s="32"/>
      <c r="D25" s="33"/>
      <c r="E25" s="34"/>
    </row>
    <row r="26" spans="3:5" x14ac:dyDescent="0.3">
      <c r="C26" s="32"/>
      <c r="D26" s="33"/>
      <c r="E26" s="34"/>
    </row>
    <row r="27" spans="3:5" x14ac:dyDescent="0.3">
      <c r="C27" s="32"/>
      <c r="D27" s="33"/>
      <c r="E27" s="34"/>
    </row>
    <row r="28" spans="3:5" x14ac:dyDescent="0.3">
      <c r="C28" s="32"/>
      <c r="D28" s="33"/>
      <c r="E28" s="34"/>
    </row>
    <row r="29" spans="3:5" x14ac:dyDescent="0.3">
      <c r="C29" s="32"/>
      <c r="D29" s="33"/>
      <c r="E29" s="34"/>
    </row>
    <row r="30" spans="3:5" x14ac:dyDescent="0.3">
      <c r="C30" s="32"/>
      <c r="D30" s="33"/>
      <c r="E30" s="34"/>
    </row>
    <row r="31" spans="3:5" x14ac:dyDescent="0.3">
      <c r="C31" s="32"/>
      <c r="D31" s="33"/>
      <c r="E31" s="34"/>
    </row>
    <row r="32" spans="3:5" x14ac:dyDescent="0.3">
      <c r="C32" s="32"/>
      <c r="D32" s="33"/>
      <c r="E32" s="34"/>
    </row>
    <row r="33" spans="1:5" x14ac:dyDescent="0.3">
      <c r="C33" s="32"/>
      <c r="D33" s="33"/>
      <c r="E33" s="34"/>
    </row>
    <row r="34" spans="1:5" x14ac:dyDescent="0.3">
      <c r="C34" s="32"/>
      <c r="D34" s="33"/>
      <c r="E34" s="34"/>
    </row>
    <row r="35" spans="1:5" x14ac:dyDescent="0.3">
      <c r="C35" s="32"/>
      <c r="D35" s="33"/>
      <c r="E35" s="34"/>
    </row>
    <row r="36" spans="1:5" x14ac:dyDescent="0.3">
      <c r="C36" s="35"/>
      <c r="D36" s="36"/>
      <c r="E36" s="37"/>
    </row>
    <row r="37" spans="1:5" x14ac:dyDescent="0.3">
      <c r="A37" s="1"/>
      <c r="C37" s="32"/>
      <c r="D37" s="33"/>
      <c r="E37" s="34"/>
    </row>
    <row r="38" spans="1:5" x14ac:dyDescent="0.3">
      <c r="A38" s="1"/>
      <c r="C38" s="32"/>
      <c r="D38" s="33"/>
      <c r="E38" s="34"/>
    </row>
    <row r="39" spans="1:5" x14ac:dyDescent="0.3">
      <c r="A39" s="1"/>
      <c r="C39" s="32"/>
      <c r="D39" s="33"/>
      <c r="E39" s="34"/>
    </row>
    <row r="40" spans="1:5" x14ac:dyDescent="0.3">
      <c r="A40" s="1"/>
      <c r="C40" s="32"/>
      <c r="D40" s="33"/>
      <c r="E40" s="34"/>
    </row>
    <row r="41" spans="1:5" x14ac:dyDescent="0.3">
      <c r="A41" s="1"/>
      <c r="C41" s="32"/>
      <c r="D41" s="33"/>
      <c r="E41" s="34"/>
    </row>
    <row r="42" spans="1:5" x14ac:dyDescent="0.3">
      <c r="A42" s="1"/>
      <c r="B42" s="7" t="s">
        <v>142</v>
      </c>
      <c r="C42" s="32"/>
      <c r="D42" s="33"/>
      <c r="E42" s="34"/>
    </row>
    <row r="43" spans="1:5" x14ac:dyDescent="0.3">
      <c r="A43" s="1"/>
      <c r="C43" s="32"/>
      <c r="D43" s="33"/>
      <c r="E43" s="34"/>
    </row>
    <row r="44" spans="1:5" x14ac:dyDescent="0.3">
      <c r="A44" s="1"/>
      <c r="C44" s="32"/>
      <c r="D44" s="33"/>
      <c r="E44" s="34"/>
    </row>
    <row r="45" spans="1:5" x14ac:dyDescent="0.3">
      <c r="C45" s="32"/>
      <c r="D45" s="33"/>
      <c r="E45" s="34"/>
    </row>
    <row r="46" spans="1:5" x14ac:dyDescent="0.3">
      <c r="C46" s="32"/>
      <c r="D46" s="33"/>
      <c r="E46" s="34"/>
    </row>
    <row r="47" spans="1:5" x14ac:dyDescent="0.3">
      <c r="C47" s="32"/>
      <c r="D47" s="33"/>
      <c r="E47" s="34"/>
    </row>
    <row r="48" spans="1:5" x14ac:dyDescent="0.3">
      <c r="C48" s="32"/>
      <c r="D48" s="33"/>
      <c r="E48" s="34"/>
    </row>
    <row r="49" spans="3:5" x14ac:dyDescent="0.3">
      <c r="C49" s="32"/>
      <c r="D49" s="33"/>
      <c r="E49" s="34"/>
    </row>
    <row r="50" spans="3:5" x14ac:dyDescent="0.3">
      <c r="C50" s="32"/>
      <c r="D50" s="33"/>
      <c r="E50" s="34"/>
    </row>
  </sheetData>
  <sheetProtection sheet="1" objects="1" scenarios="1" selectLockedCells="1"/>
  <mergeCells count="2">
    <mergeCell ref="C4:E4"/>
    <mergeCell ref="C7:E7"/>
  </mergeCells>
  <dataValidations disablePrompts="1" count="1">
    <dataValidation type="list" allowBlank="1" showInputMessage="1" showErrorMessage="1" sqref="D9:D35" xr:uid="{1C38B16F-6E4B-4CC0-B84E-CEBB4423B390}">
      <formula1>"Pessoa Jurídica (PJ),Empregado,Freelance"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8748-5467-4832-A29E-1D72490A208A}">
  <dimension ref="A1:C104"/>
  <sheetViews>
    <sheetView topLeftCell="A81" workbookViewId="0">
      <selection activeCell="C2" sqref="C2:C104"/>
    </sheetView>
  </sheetViews>
  <sheetFormatPr defaultRowHeight="14.4" x14ac:dyDescent="0.3"/>
  <cols>
    <col min="1" max="1" width="63.21875" bestFit="1" customWidth="1"/>
    <col min="2" max="2" width="19" customWidth="1"/>
    <col min="3" max="3" width="45.21875" customWidth="1"/>
  </cols>
  <sheetData>
    <row r="1" spans="1:3" ht="15.6" x14ac:dyDescent="0.3">
      <c r="A1" s="8" t="s">
        <v>126</v>
      </c>
      <c r="B1" s="9"/>
      <c r="C1" s="8" t="s">
        <v>127</v>
      </c>
    </row>
    <row r="2" spans="1:3" x14ac:dyDescent="0.3">
      <c r="A2" t="s">
        <v>23</v>
      </c>
      <c r="C2" t="str">
        <f>IF(LEN(A2)&gt;50, LEFT(A2, 40) &amp; "...", A2)</f>
        <v>001-Banco do Brasil S.A.</v>
      </c>
    </row>
    <row r="3" spans="1:3" x14ac:dyDescent="0.3">
      <c r="A3" t="s">
        <v>24</v>
      </c>
      <c r="C3" t="str">
        <f t="shared" ref="C3:C66" si="0">IF(LEN(A3)&gt;50, LEFT(A3, 40) &amp; "...", A3)</f>
        <v>003-Banco da Amazônia S.A.</v>
      </c>
    </row>
    <row r="4" spans="1:3" x14ac:dyDescent="0.3">
      <c r="A4" t="s">
        <v>25</v>
      </c>
      <c r="C4" t="str">
        <f t="shared" si="0"/>
        <v>004-Banco do Nordeste do Brasil S.A.</v>
      </c>
    </row>
    <row r="5" spans="1:3" x14ac:dyDescent="0.3">
      <c r="A5" t="s">
        <v>26</v>
      </c>
      <c r="C5" t="str">
        <f t="shared" si="0"/>
        <v>007-BNDES (Banco Nac. de Des. Econômico e Social)</v>
      </c>
    </row>
    <row r="6" spans="1:3" x14ac:dyDescent="0.3">
      <c r="A6" t="s">
        <v>27</v>
      </c>
      <c r="C6" t="str">
        <f t="shared" si="0"/>
        <v>010-Credicoamo Crédito Rural Cooperativa</v>
      </c>
    </row>
    <row r="7" spans="1:3" x14ac:dyDescent="0.3">
      <c r="A7" t="s">
        <v>28</v>
      </c>
      <c r="C7" t="str">
        <f t="shared" si="0"/>
        <v>011-Credit Suisse (Brasil) S.A. Corretor...</v>
      </c>
    </row>
    <row r="8" spans="1:3" x14ac:dyDescent="0.3">
      <c r="A8" t="s">
        <v>29</v>
      </c>
      <c r="C8" t="str">
        <f t="shared" si="0"/>
        <v>012-Banco Inbursa S.A.</v>
      </c>
    </row>
    <row r="9" spans="1:3" x14ac:dyDescent="0.3">
      <c r="A9" t="s">
        <v>30</v>
      </c>
      <c r="C9" t="str">
        <f t="shared" si="0"/>
        <v>016-Ccm Despachantes de Trânsito de Sant...</v>
      </c>
    </row>
    <row r="10" spans="1:3" x14ac:dyDescent="0.3">
      <c r="A10" t="s">
        <v>31</v>
      </c>
      <c r="C10" t="str">
        <f t="shared" si="0"/>
        <v>017-BNY Mellon Banco S.A.</v>
      </c>
    </row>
    <row r="11" spans="1:3" x14ac:dyDescent="0.3">
      <c r="A11" t="s">
        <v>32</v>
      </c>
      <c r="C11" t="str">
        <f t="shared" si="0"/>
        <v>021-BANESTES S.A. (Banco do Estado do Es...</v>
      </c>
    </row>
    <row r="12" spans="1:3" x14ac:dyDescent="0.3">
      <c r="A12" t="s">
        <v>33</v>
      </c>
      <c r="C12" t="str">
        <f t="shared" si="0"/>
        <v>024-Banco Bandepe S.A.</v>
      </c>
    </row>
    <row r="13" spans="1:3" x14ac:dyDescent="0.3">
      <c r="A13" t="s">
        <v>34</v>
      </c>
      <c r="C13" t="str">
        <f t="shared" si="0"/>
        <v>025-Banco Alfa S.A.</v>
      </c>
    </row>
    <row r="14" spans="1:3" x14ac:dyDescent="0.3">
      <c r="A14" t="s">
        <v>35</v>
      </c>
      <c r="C14" t="str">
        <f t="shared" si="0"/>
        <v>029-Banco Itaú Consignado S.A.</v>
      </c>
    </row>
    <row r="15" spans="1:3" x14ac:dyDescent="0.3">
      <c r="A15" t="s">
        <v>36</v>
      </c>
      <c r="C15" t="str">
        <f t="shared" si="0"/>
        <v>033-Banco Santander (Brasil) S.A.</v>
      </c>
    </row>
    <row r="16" spans="1:3" x14ac:dyDescent="0.3">
      <c r="A16" t="s">
        <v>37</v>
      </c>
      <c r="C16" t="str">
        <f t="shared" si="0"/>
        <v>036-Banco Bradesco BBI S.A.</v>
      </c>
    </row>
    <row r="17" spans="1:3" x14ac:dyDescent="0.3">
      <c r="A17" t="s">
        <v>38</v>
      </c>
      <c r="C17" t="str">
        <f t="shared" si="0"/>
        <v>037-BANPARÁ (Banco do Estado do Pará S.A.)</v>
      </c>
    </row>
    <row r="18" spans="1:3" x14ac:dyDescent="0.3">
      <c r="A18" t="s">
        <v>39</v>
      </c>
      <c r="C18" t="str">
        <f t="shared" si="0"/>
        <v>040-Banco Cargill S.A.</v>
      </c>
    </row>
    <row r="19" spans="1:3" x14ac:dyDescent="0.3">
      <c r="A19" t="s">
        <v>40</v>
      </c>
      <c r="C19" t="str">
        <f t="shared" si="0"/>
        <v>041-Banco do Estado do Rio Grande do Sul...</v>
      </c>
    </row>
    <row r="20" spans="1:3" x14ac:dyDescent="0.3">
      <c r="A20" t="s">
        <v>41</v>
      </c>
      <c r="C20" t="str">
        <f t="shared" si="0"/>
        <v>047-BANESE (Banco do Estado de Sergipe S.A.)</v>
      </c>
    </row>
    <row r="21" spans="1:3" x14ac:dyDescent="0.3">
      <c r="A21" t="s">
        <v>42</v>
      </c>
      <c r="C21" t="str">
        <f t="shared" si="0"/>
        <v>062-Hipercard Banco Múltiplo S.A.</v>
      </c>
    </row>
    <row r="22" spans="1:3" x14ac:dyDescent="0.3">
      <c r="A22" t="s">
        <v>43</v>
      </c>
      <c r="C22" t="str">
        <f t="shared" si="0"/>
        <v>063-Banco Bradescard S.A.</v>
      </c>
    </row>
    <row r="23" spans="1:3" x14ac:dyDescent="0.3">
      <c r="A23" t="s">
        <v>44</v>
      </c>
      <c r="C23" t="str">
        <f t="shared" si="0"/>
        <v>064-Goldman Sachs do Brasil Banco Múltiplo S.A.</v>
      </c>
    </row>
    <row r="24" spans="1:3" x14ac:dyDescent="0.3">
      <c r="A24" t="s">
        <v>45</v>
      </c>
      <c r="C24" t="str">
        <f t="shared" si="0"/>
        <v>065-Banco Andbank (Brasil) S.A.</v>
      </c>
    </row>
    <row r="25" spans="1:3" x14ac:dyDescent="0.3">
      <c r="A25" t="s">
        <v>46</v>
      </c>
      <c r="C25" t="str">
        <f t="shared" si="0"/>
        <v>066-Banco Morgan Stanley S.A.</v>
      </c>
    </row>
    <row r="26" spans="1:3" x14ac:dyDescent="0.3">
      <c r="A26" t="s">
        <v>47</v>
      </c>
      <c r="C26" t="str">
        <f t="shared" si="0"/>
        <v>069-Banco Crefisa S.A.</v>
      </c>
    </row>
    <row r="27" spans="1:3" x14ac:dyDescent="0.3">
      <c r="A27" t="s">
        <v>48</v>
      </c>
      <c r="C27" t="str">
        <f t="shared" si="0"/>
        <v>070-BRB - Banco de Brasília S.A.</v>
      </c>
    </row>
    <row r="28" spans="1:3" x14ac:dyDescent="0.3">
      <c r="A28" t="s">
        <v>49</v>
      </c>
      <c r="C28" t="str">
        <f t="shared" si="0"/>
        <v>074-Banco J. Safra S.A.</v>
      </c>
    </row>
    <row r="29" spans="1:3" x14ac:dyDescent="0.3">
      <c r="A29" t="s">
        <v>50</v>
      </c>
      <c r="C29" t="str">
        <f t="shared" si="0"/>
        <v>075-Banco ABN AMRO S.A.</v>
      </c>
    </row>
    <row r="30" spans="1:3" x14ac:dyDescent="0.3">
      <c r="A30" t="s">
        <v>51</v>
      </c>
      <c r="C30" t="str">
        <f t="shared" si="0"/>
        <v>076-Banco KDB do Brasil S.A.</v>
      </c>
    </row>
    <row r="31" spans="1:3" x14ac:dyDescent="0.3">
      <c r="A31" t="s">
        <v>52</v>
      </c>
      <c r="C31" t="str">
        <f t="shared" si="0"/>
        <v>077-Banco Inter S.A.</v>
      </c>
    </row>
    <row r="32" spans="1:3" x14ac:dyDescent="0.3">
      <c r="A32" t="s">
        <v>53</v>
      </c>
      <c r="C32" t="str">
        <f t="shared" si="0"/>
        <v>078-Haitong Banco de Investimento do Brasil S.A.</v>
      </c>
    </row>
    <row r="33" spans="1:3" x14ac:dyDescent="0.3">
      <c r="A33" t="s">
        <v>54</v>
      </c>
      <c r="C33" t="str">
        <f t="shared" si="0"/>
        <v>079-Banco Original do Agronegócio S.A.</v>
      </c>
    </row>
    <row r="34" spans="1:3" x14ac:dyDescent="0.3">
      <c r="A34" t="s">
        <v>55</v>
      </c>
      <c r="C34" t="str">
        <f t="shared" si="0"/>
        <v>081-Banco Seguro S.A.</v>
      </c>
    </row>
    <row r="35" spans="1:3" x14ac:dyDescent="0.3">
      <c r="A35" t="s">
        <v>56</v>
      </c>
      <c r="C35" t="str">
        <f t="shared" si="0"/>
        <v>082-Banco Topázio S.A.</v>
      </c>
    </row>
    <row r="36" spans="1:3" x14ac:dyDescent="0.3">
      <c r="A36" t="s">
        <v>57</v>
      </c>
      <c r="C36" t="str">
        <f t="shared" si="0"/>
        <v>083-Banco da China Brasil S.A.</v>
      </c>
    </row>
    <row r="37" spans="1:3" x14ac:dyDescent="0.3">
      <c r="A37" t="s">
        <v>58</v>
      </c>
      <c r="C37" t="str">
        <f t="shared" si="0"/>
        <v>084-Uniprime Norte do Paraná - Coop de C...</v>
      </c>
    </row>
    <row r="38" spans="1:3" x14ac:dyDescent="0.3">
      <c r="A38" t="s">
        <v>59</v>
      </c>
      <c r="C38" t="str">
        <f t="shared" si="0"/>
        <v>085-Ailos (Cooperativa Central de Crédito Urbano)</v>
      </c>
    </row>
    <row r="39" spans="1:3" x14ac:dyDescent="0.3">
      <c r="A39" t="s">
        <v>60</v>
      </c>
      <c r="C39" t="str">
        <f t="shared" si="0"/>
        <v>089-CCR de Região da Mogiana (Credisan)</v>
      </c>
    </row>
    <row r="40" spans="1:3" x14ac:dyDescent="0.3">
      <c r="A40" t="s">
        <v>61</v>
      </c>
      <c r="C40" t="str">
        <f t="shared" si="0"/>
        <v>091-Unicred Central RS</v>
      </c>
    </row>
    <row r="41" spans="1:3" x14ac:dyDescent="0.3">
      <c r="A41" t="s">
        <v>62</v>
      </c>
      <c r="C41" t="str">
        <f t="shared" si="0"/>
        <v>092-Brickell S.A. Crédito, Financiamento...</v>
      </c>
    </row>
    <row r="42" spans="1:3" x14ac:dyDescent="0.3">
      <c r="A42" t="s">
        <v>63</v>
      </c>
      <c r="C42" t="str">
        <f t="shared" si="0"/>
        <v>094-Banco Finaxis S.A.</v>
      </c>
    </row>
    <row r="43" spans="1:3" x14ac:dyDescent="0.3">
      <c r="A43" t="s">
        <v>64</v>
      </c>
      <c r="C43" t="str">
        <f t="shared" si="0"/>
        <v>095-Travelex Banco de Câmbio S.A.</v>
      </c>
    </row>
    <row r="44" spans="1:3" x14ac:dyDescent="0.3">
      <c r="A44" t="s">
        <v>65</v>
      </c>
      <c r="C44" t="str">
        <f t="shared" si="0"/>
        <v>096-Banco B3 S.A.</v>
      </c>
    </row>
    <row r="45" spans="1:3" x14ac:dyDescent="0.3">
      <c r="A45" t="s">
        <v>66</v>
      </c>
      <c r="C45" t="str">
        <f t="shared" si="0"/>
        <v>097-Credisis - Central de Cooperativas d...</v>
      </c>
    </row>
    <row r="46" spans="1:3" x14ac:dyDescent="0.3">
      <c r="A46" t="s">
        <v>67</v>
      </c>
      <c r="C46" t="str">
        <f t="shared" si="0"/>
        <v>098-Credialiança Cooperativa de Crédito Rural</v>
      </c>
    </row>
    <row r="47" spans="1:3" x14ac:dyDescent="0.3">
      <c r="A47" t="s">
        <v>68</v>
      </c>
      <c r="C47" t="str">
        <f t="shared" si="0"/>
        <v>099-UNIPRIME Central – Central Est. de C...</v>
      </c>
    </row>
    <row r="48" spans="1:3" x14ac:dyDescent="0.3">
      <c r="A48" t="s">
        <v>69</v>
      </c>
      <c r="C48" t="str">
        <f t="shared" si="0"/>
        <v>102-XP Investimentos Corretora de Câmbio...</v>
      </c>
    </row>
    <row r="49" spans="1:3" x14ac:dyDescent="0.3">
      <c r="A49" t="s">
        <v>70</v>
      </c>
      <c r="C49" t="str">
        <f t="shared" si="0"/>
        <v>104-Caixa Econômica Federal</v>
      </c>
    </row>
    <row r="50" spans="1:3" x14ac:dyDescent="0.3">
      <c r="A50" t="s">
        <v>71</v>
      </c>
      <c r="C50" t="str">
        <f t="shared" si="0"/>
        <v>107-Banco Bocom BBM S.A.</v>
      </c>
    </row>
    <row r="51" spans="1:3" x14ac:dyDescent="0.3">
      <c r="A51" t="s">
        <v>72</v>
      </c>
      <c r="C51" t="str">
        <f t="shared" si="0"/>
        <v>117-Advanced Corretora de Câmbio Ltda.</v>
      </c>
    </row>
    <row r="52" spans="1:3" x14ac:dyDescent="0.3">
      <c r="A52" t="s">
        <v>73</v>
      </c>
      <c r="C52" t="str">
        <f t="shared" si="0"/>
        <v>121-Banco Agibank S.A.</v>
      </c>
    </row>
    <row r="53" spans="1:3" x14ac:dyDescent="0.3">
      <c r="A53" t="s">
        <v>74</v>
      </c>
      <c r="C53" t="str">
        <f t="shared" si="0"/>
        <v>125-Brasil Plural S.A. Banco Múltiplo</v>
      </c>
    </row>
    <row r="54" spans="1:3" x14ac:dyDescent="0.3">
      <c r="A54" t="s">
        <v>75</v>
      </c>
      <c r="C54" t="str">
        <f t="shared" si="0"/>
        <v>128-MS Bank S.A. Banco de Câmbio</v>
      </c>
    </row>
    <row r="55" spans="1:3" x14ac:dyDescent="0.3">
      <c r="A55" t="s">
        <v>76</v>
      </c>
      <c r="C55" t="str">
        <f t="shared" si="0"/>
        <v>136-Unicred do Brasil</v>
      </c>
    </row>
    <row r="56" spans="1:3" x14ac:dyDescent="0.3">
      <c r="A56" t="s">
        <v>77</v>
      </c>
      <c r="C56" t="str">
        <f t="shared" si="0"/>
        <v>144-BEXS Banco de Câmbio S/A</v>
      </c>
    </row>
    <row r="57" spans="1:3" x14ac:dyDescent="0.3">
      <c r="A57" t="s">
        <v>78</v>
      </c>
      <c r="C57" t="str">
        <f t="shared" si="0"/>
        <v>184-Banco Itaú BBA S.A.</v>
      </c>
    </row>
    <row r="58" spans="1:3" x14ac:dyDescent="0.3">
      <c r="A58" t="s">
        <v>79</v>
      </c>
      <c r="C58" t="str">
        <f t="shared" si="0"/>
        <v>197-Stone Instituição de Pagamento S.A.</v>
      </c>
    </row>
    <row r="59" spans="1:3" x14ac:dyDescent="0.3">
      <c r="A59" t="s">
        <v>80</v>
      </c>
      <c r="C59" t="str">
        <f t="shared" si="0"/>
        <v>204-Banco Bradesco Cartões S.A.</v>
      </c>
    </row>
    <row r="60" spans="1:3" x14ac:dyDescent="0.3">
      <c r="A60" t="s">
        <v>81</v>
      </c>
      <c r="C60" t="str">
        <f t="shared" si="0"/>
        <v>208-Banco BTG Pactual S.A.</v>
      </c>
    </row>
    <row r="61" spans="1:3" x14ac:dyDescent="0.3">
      <c r="A61" t="s">
        <v>82</v>
      </c>
      <c r="C61" t="str">
        <f t="shared" si="0"/>
        <v>212-Banco Original S.A.</v>
      </c>
    </row>
    <row r="62" spans="1:3" x14ac:dyDescent="0.3">
      <c r="A62" t="s">
        <v>83</v>
      </c>
      <c r="C62" t="str">
        <f t="shared" si="0"/>
        <v>213-Banco Arbi S.A.</v>
      </c>
    </row>
    <row r="63" spans="1:3" x14ac:dyDescent="0.3">
      <c r="A63" t="s">
        <v>84</v>
      </c>
      <c r="C63" t="str">
        <f t="shared" si="0"/>
        <v>217-Banco John Deere S.A.</v>
      </c>
    </row>
    <row r="64" spans="1:3" x14ac:dyDescent="0.3">
      <c r="A64" t="s">
        <v>85</v>
      </c>
      <c r="C64" t="str">
        <f t="shared" si="0"/>
        <v>218-Banco BS2 S.A.</v>
      </c>
    </row>
    <row r="65" spans="1:3" x14ac:dyDescent="0.3">
      <c r="A65" t="s">
        <v>86</v>
      </c>
      <c r="C65" t="str">
        <f t="shared" si="0"/>
        <v>222-Banco Crédit Agricole Brasil S.A.</v>
      </c>
    </row>
    <row r="66" spans="1:3" x14ac:dyDescent="0.3">
      <c r="A66" t="s">
        <v>87</v>
      </c>
      <c r="C66" t="str">
        <f t="shared" si="0"/>
        <v>224-Banco Fibra S.A.</v>
      </c>
    </row>
    <row r="67" spans="1:3" x14ac:dyDescent="0.3">
      <c r="A67" t="s">
        <v>88</v>
      </c>
      <c r="C67" t="str">
        <f t="shared" ref="C67:C104" si="1">IF(LEN(A67)&gt;50, LEFT(A67, 40) &amp; "...", A67)</f>
        <v>233-Banco Cifra S.A.</v>
      </c>
    </row>
    <row r="68" spans="1:3" x14ac:dyDescent="0.3">
      <c r="A68" t="s">
        <v>89</v>
      </c>
      <c r="C68" t="str">
        <f t="shared" si="1"/>
        <v>237-Banco Bradesco S.A.</v>
      </c>
    </row>
    <row r="69" spans="1:3" x14ac:dyDescent="0.3">
      <c r="A69" t="s">
        <v>90</v>
      </c>
      <c r="C69" t="str">
        <f t="shared" si="1"/>
        <v>243-Banco Master S.A.</v>
      </c>
    </row>
    <row r="70" spans="1:3" x14ac:dyDescent="0.3">
      <c r="A70" t="s">
        <v>91</v>
      </c>
      <c r="C70" t="str">
        <f t="shared" si="1"/>
        <v>246-Banco ABC Brasil S.A.</v>
      </c>
    </row>
    <row r="71" spans="1:3" x14ac:dyDescent="0.3">
      <c r="A71" t="s">
        <v>92</v>
      </c>
      <c r="C71" t="str">
        <f t="shared" si="1"/>
        <v>249-Banco Investcred Unibanco S.A.</v>
      </c>
    </row>
    <row r="72" spans="1:3" x14ac:dyDescent="0.3">
      <c r="A72" t="s">
        <v>93</v>
      </c>
      <c r="C72" t="str">
        <f t="shared" si="1"/>
        <v>250-BCV - Banco de Crédito e Varejo S.A.</v>
      </c>
    </row>
    <row r="73" spans="1:3" x14ac:dyDescent="0.3">
      <c r="A73" t="s">
        <v>94</v>
      </c>
      <c r="C73" t="str">
        <f t="shared" si="1"/>
        <v>254-Paraná Banco S.A.</v>
      </c>
    </row>
    <row r="74" spans="1:3" x14ac:dyDescent="0.3">
      <c r="A74" t="s">
        <v>95</v>
      </c>
      <c r="C74" t="str">
        <f t="shared" si="1"/>
        <v>260-Nu Pagamentos S.A. (Nubank)</v>
      </c>
    </row>
    <row r="75" spans="1:3" x14ac:dyDescent="0.3">
      <c r="A75" t="s">
        <v>96</v>
      </c>
      <c r="C75" t="str">
        <f t="shared" si="1"/>
        <v>273-CCR de São Roque (Cooperativa de Cré...</v>
      </c>
    </row>
    <row r="76" spans="1:3" x14ac:dyDescent="0.3">
      <c r="A76" t="s">
        <v>97</v>
      </c>
      <c r="C76" t="str">
        <f t="shared" si="1"/>
        <v>290-PagSeguro Internet S.A. (PagBank)</v>
      </c>
    </row>
    <row r="77" spans="1:3" x14ac:dyDescent="0.3">
      <c r="A77" t="s">
        <v>98</v>
      </c>
      <c r="C77" t="str">
        <f t="shared" si="1"/>
        <v>301-BPP Instituição de Pagamento S.A.</v>
      </c>
    </row>
    <row r="78" spans="1:3" x14ac:dyDescent="0.3">
      <c r="A78" t="s">
        <v>99</v>
      </c>
      <c r="C78" t="str">
        <f t="shared" si="1"/>
        <v>318-Banco BMG S.A.</v>
      </c>
    </row>
    <row r="79" spans="1:3" x14ac:dyDescent="0.3">
      <c r="A79" t="s">
        <v>100</v>
      </c>
      <c r="C79" t="str">
        <f t="shared" si="1"/>
        <v>320-China Construction Bank (Brasil) Ban...</v>
      </c>
    </row>
    <row r="80" spans="1:3" x14ac:dyDescent="0.3">
      <c r="A80" t="s">
        <v>101</v>
      </c>
      <c r="C80" t="str">
        <f t="shared" si="1"/>
        <v>335-Banco Digio S.A.</v>
      </c>
    </row>
    <row r="81" spans="1:3" x14ac:dyDescent="0.3">
      <c r="A81" t="s">
        <v>102</v>
      </c>
      <c r="C81" t="str">
        <f t="shared" si="1"/>
        <v>336-Banco C6 S.A. (C6 Bank)</v>
      </c>
    </row>
    <row r="82" spans="1:3" x14ac:dyDescent="0.3">
      <c r="A82" t="s">
        <v>103</v>
      </c>
      <c r="C82" t="str">
        <f t="shared" si="1"/>
        <v>341-Itaú Unibanco S.A.</v>
      </c>
    </row>
    <row r="83" spans="1:3" x14ac:dyDescent="0.3">
      <c r="A83" t="s">
        <v>104</v>
      </c>
      <c r="C83" t="str">
        <f t="shared" si="1"/>
        <v>389-Banco Mercantil do Brasil S.A.</v>
      </c>
    </row>
    <row r="84" spans="1:3" x14ac:dyDescent="0.3">
      <c r="A84" t="s">
        <v>105</v>
      </c>
      <c r="C84" t="str">
        <f t="shared" si="1"/>
        <v>403-Cora Sociedade de Crédito Direto S.A.</v>
      </c>
    </row>
    <row r="85" spans="1:3" x14ac:dyDescent="0.3">
      <c r="A85" t="s">
        <v>106</v>
      </c>
      <c r="C85" t="str">
        <f t="shared" si="1"/>
        <v>422-Banco Safra S.A.</v>
      </c>
    </row>
    <row r="86" spans="1:3" x14ac:dyDescent="0.3">
      <c r="A86" t="s">
        <v>107</v>
      </c>
      <c r="C86" t="str">
        <f t="shared" si="1"/>
        <v>456-Banco MUFG Brasil S.A.</v>
      </c>
    </row>
    <row r="87" spans="1:3" x14ac:dyDescent="0.3">
      <c r="A87" t="s">
        <v>108</v>
      </c>
      <c r="C87" t="str">
        <f t="shared" si="1"/>
        <v>473-Banco Caixa Geral - Brasil S.A.</v>
      </c>
    </row>
    <row r="88" spans="1:3" x14ac:dyDescent="0.3">
      <c r="A88" t="s">
        <v>109</v>
      </c>
      <c r="C88" t="str">
        <f t="shared" si="1"/>
        <v>505-Banco Credit Suisse (Brasil) S.A.</v>
      </c>
    </row>
    <row r="89" spans="1:3" x14ac:dyDescent="0.3">
      <c r="A89" t="s">
        <v>110</v>
      </c>
      <c r="C89" t="str">
        <f t="shared" si="1"/>
        <v>604-Banco Industrial do Brasil S.A.</v>
      </c>
    </row>
    <row r="90" spans="1:3" x14ac:dyDescent="0.3">
      <c r="A90" t="s">
        <v>111</v>
      </c>
      <c r="C90" t="str">
        <f t="shared" si="1"/>
        <v>611-Banco Paulista S.A.</v>
      </c>
    </row>
    <row r="91" spans="1:3" x14ac:dyDescent="0.3">
      <c r="A91" t="s">
        <v>112</v>
      </c>
      <c r="C91" t="str">
        <f t="shared" si="1"/>
        <v>623-Banco Pan S.A.</v>
      </c>
    </row>
    <row r="92" spans="1:3" x14ac:dyDescent="0.3">
      <c r="A92" t="s">
        <v>113</v>
      </c>
      <c r="C92" t="str">
        <f t="shared" si="1"/>
        <v>633-Banco Rendimento S.A.</v>
      </c>
    </row>
    <row r="93" spans="1:3" x14ac:dyDescent="0.3">
      <c r="A93" t="s">
        <v>114</v>
      </c>
      <c r="C93" t="str">
        <f t="shared" si="1"/>
        <v>637-Banco Sofisa S.A.</v>
      </c>
    </row>
    <row r="94" spans="1:3" x14ac:dyDescent="0.3">
      <c r="A94" t="s">
        <v>115</v>
      </c>
      <c r="C94" t="str">
        <f t="shared" si="1"/>
        <v>652-Itaú Unibanco Holding S.A.</v>
      </c>
    </row>
    <row r="95" spans="1:3" x14ac:dyDescent="0.3">
      <c r="A95" t="s">
        <v>116</v>
      </c>
      <c r="C95" t="str">
        <f t="shared" si="1"/>
        <v>653-Banco Voiter S.A.</v>
      </c>
    </row>
    <row r="96" spans="1:3" x14ac:dyDescent="0.3">
      <c r="A96" t="s">
        <v>117</v>
      </c>
      <c r="C96" t="str">
        <f t="shared" si="1"/>
        <v>655-Banco Votorantim S.A. (Banco BV)</v>
      </c>
    </row>
    <row r="97" spans="1:3" x14ac:dyDescent="0.3">
      <c r="A97" t="s">
        <v>118</v>
      </c>
      <c r="C97" t="str">
        <f t="shared" si="1"/>
        <v>707-Banco Daycoval S.A.</v>
      </c>
    </row>
    <row r="98" spans="1:3" x14ac:dyDescent="0.3">
      <c r="A98" t="s">
        <v>119</v>
      </c>
      <c r="C98" t="str">
        <f t="shared" si="1"/>
        <v>735-Banco Neon S.A.</v>
      </c>
    </row>
    <row r="99" spans="1:3" x14ac:dyDescent="0.3">
      <c r="A99" t="s">
        <v>120</v>
      </c>
      <c r="C99" t="str">
        <f t="shared" si="1"/>
        <v>739-Banco Cetelem S.A.</v>
      </c>
    </row>
    <row r="100" spans="1:3" x14ac:dyDescent="0.3">
      <c r="A100" t="s">
        <v>121</v>
      </c>
      <c r="C100" t="str">
        <f t="shared" si="1"/>
        <v>741-Banco Ribeirão Preto S.A.</v>
      </c>
    </row>
    <row r="101" spans="1:3" x14ac:dyDescent="0.3">
      <c r="A101" t="s">
        <v>122</v>
      </c>
      <c r="C101" t="str">
        <f t="shared" si="1"/>
        <v>745-Banco Citibank S.A.</v>
      </c>
    </row>
    <row r="102" spans="1:3" x14ac:dyDescent="0.3">
      <c r="A102" t="s">
        <v>123</v>
      </c>
      <c r="C102" t="str">
        <f t="shared" si="1"/>
        <v>746-Banco Modal S.A.</v>
      </c>
    </row>
    <row r="103" spans="1:3" x14ac:dyDescent="0.3">
      <c r="A103" t="s">
        <v>124</v>
      </c>
      <c r="C103" t="str">
        <f t="shared" si="1"/>
        <v>748-Banco Cooperativo Sicredi S.A.</v>
      </c>
    </row>
    <row r="104" spans="1:3" x14ac:dyDescent="0.3">
      <c r="A104" t="s">
        <v>125</v>
      </c>
      <c r="C104" t="str">
        <f t="shared" si="1"/>
        <v>756-Banco Cooperativo do Brasil S.A. (Sicoob)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RENDIMENTOS MENSAIS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Braz</dc:creator>
  <cp:lastModifiedBy>Roberta Braz</cp:lastModifiedBy>
  <dcterms:created xsi:type="dcterms:W3CDTF">2026-01-28T12:11:08Z</dcterms:created>
  <dcterms:modified xsi:type="dcterms:W3CDTF">2026-01-29T16:09:03Z</dcterms:modified>
</cp:coreProperties>
</file>